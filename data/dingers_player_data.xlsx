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shbrodie/Desktop/claude_code/dingers/data/"/>
    </mc:Choice>
  </mc:AlternateContent>
  <xr:revisionPtr revIDLastSave="0" documentId="13_ncr:1_{82C75687-1EFC-D844-A127-AC39027983AC}" xr6:coauthVersionLast="47" xr6:coauthVersionMax="47" xr10:uidLastSave="{00000000-0000-0000-0000-000000000000}"/>
  <bookViews>
    <workbookView xWindow="740" yWindow="1040" windowWidth="27240" windowHeight="16180" activeTab="2" xr2:uid="{60B155BA-D1AB-C646-8118-9D9B551D7988}"/>
  </bookViews>
  <sheets>
    <sheet name="MAIN" sheetId="1" r:id="rId1"/>
    <sheet name="mlb_ids" sheetId="4" r:id="rId2"/>
    <sheet name="mlb_statcast" sheetId="3" r:id="rId3"/>
    <sheet name="games played" sheetId="2" r:id="rId4"/>
    <sheet name="team" sheetId="5" r:id="rId5"/>
  </sheets>
  <definedNames>
    <definedName name="_xlnm._FilterDatabase" localSheetId="3" hidden="1">'games played'!$A$1:$L$1</definedName>
    <definedName name="_xlnm._FilterDatabase" localSheetId="0" hidden="1">MAIN!$A$1:$I$500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0" i="1" l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I493" i="1"/>
  <c r="H493" i="1"/>
  <c r="I483" i="1"/>
  <c r="H483" i="1"/>
  <c r="I474" i="1"/>
  <c r="H474" i="1"/>
  <c r="I465" i="1"/>
  <c r="H465" i="1"/>
  <c r="I464" i="1"/>
  <c r="H464" i="1"/>
  <c r="I459" i="1"/>
  <c r="H459" i="1"/>
  <c r="I456" i="1"/>
  <c r="H456" i="1"/>
  <c r="I452" i="1"/>
  <c r="H452" i="1"/>
  <c r="I442" i="1"/>
  <c r="H442" i="1"/>
  <c r="I440" i="1"/>
  <c r="H440" i="1"/>
  <c r="I424" i="1"/>
  <c r="H424" i="1"/>
  <c r="I408" i="1"/>
  <c r="H408" i="1"/>
  <c r="I405" i="1"/>
  <c r="H405" i="1"/>
  <c r="I400" i="1"/>
  <c r="H400" i="1"/>
  <c r="I399" i="1"/>
  <c r="H399" i="1"/>
  <c r="I396" i="1"/>
  <c r="H396" i="1"/>
  <c r="I391" i="1"/>
  <c r="H391" i="1"/>
  <c r="I386" i="1"/>
  <c r="H386" i="1"/>
  <c r="I383" i="1"/>
  <c r="H383" i="1"/>
  <c r="I380" i="1"/>
  <c r="H380" i="1"/>
  <c r="I376" i="1"/>
  <c r="H376" i="1"/>
  <c r="I372" i="1"/>
  <c r="H372" i="1"/>
  <c r="I371" i="1"/>
  <c r="H371" i="1"/>
  <c r="I360" i="1"/>
  <c r="H360" i="1"/>
  <c r="I358" i="1"/>
  <c r="H358" i="1"/>
  <c r="I357" i="1"/>
  <c r="H357" i="1"/>
  <c r="I345" i="1"/>
  <c r="H345" i="1"/>
  <c r="I343" i="1"/>
  <c r="H343" i="1"/>
  <c r="I333" i="1"/>
  <c r="H333" i="1"/>
  <c r="I320" i="1"/>
  <c r="H320" i="1"/>
  <c r="I302" i="1"/>
  <c r="H302" i="1"/>
  <c r="I301" i="1"/>
  <c r="H301" i="1"/>
  <c r="I297" i="1"/>
  <c r="H297" i="1"/>
  <c r="I294" i="1"/>
  <c r="H294" i="1"/>
  <c r="I281" i="1"/>
  <c r="H281" i="1"/>
  <c r="I280" i="1"/>
  <c r="H280" i="1"/>
  <c r="I259" i="1"/>
  <c r="H259" i="1"/>
  <c r="I256" i="1"/>
  <c r="H256" i="1"/>
  <c r="I255" i="1"/>
  <c r="H255" i="1"/>
  <c r="I252" i="1"/>
  <c r="H252" i="1"/>
  <c r="I246" i="1"/>
  <c r="H246" i="1"/>
  <c r="I245" i="1"/>
  <c r="H245" i="1"/>
  <c r="I233" i="1"/>
  <c r="H233" i="1"/>
  <c r="I228" i="1"/>
  <c r="H228" i="1"/>
  <c r="I225" i="1"/>
  <c r="H225" i="1"/>
  <c r="I201" i="1"/>
  <c r="H201" i="1"/>
  <c r="I197" i="1"/>
  <c r="H197" i="1"/>
  <c r="I191" i="1"/>
  <c r="H191" i="1"/>
  <c r="I190" i="1"/>
  <c r="H190" i="1"/>
  <c r="I187" i="1"/>
  <c r="H187" i="1"/>
  <c r="I178" i="1"/>
  <c r="H178" i="1"/>
  <c r="I171" i="1"/>
  <c r="H171" i="1"/>
  <c r="I164" i="1"/>
  <c r="H164" i="1"/>
  <c r="I132" i="1"/>
  <c r="H132" i="1"/>
  <c r="I124" i="1"/>
  <c r="H124" i="1"/>
  <c r="I120" i="1"/>
  <c r="H120" i="1"/>
  <c r="I119" i="1"/>
  <c r="H119" i="1"/>
  <c r="I117" i="1"/>
  <c r="H117" i="1"/>
  <c r="I111" i="1"/>
  <c r="H111" i="1"/>
  <c r="I107" i="1"/>
  <c r="H107" i="1"/>
  <c r="I95" i="1"/>
  <c r="H95" i="1"/>
  <c r="I88" i="1"/>
  <c r="H88" i="1"/>
  <c r="I86" i="1"/>
  <c r="H86" i="1"/>
  <c r="I81" i="1"/>
  <c r="H81" i="1"/>
  <c r="I78" i="1"/>
  <c r="H78" i="1"/>
  <c r="I66" i="1"/>
  <c r="H66" i="1"/>
  <c r="I45" i="1"/>
  <c r="H45" i="1"/>
  <c r="I25" i="1"/>
  <c r="H25" i="1"/>
  <c r="I299" i="1"/>
  <c r="I304" i="1"/>
  <c r="I306" i="1"/>
  <c r="I307" i="1"/>
  <c r="I309" i="1"/>
  <c r="I311" i="1"/>
  <c r="I312" i="1"/>
  <c r="I314" i="1"/>
  <c r="I316" i="1"/>
  <c r="I317" i="1"/>
  <c r="I321" i="1"/>
  <c r="I322" i="1"/>
  <c r="I324" i="1"/>
  <c r="I326" i="1"/>
  <c r="I327" i="1"/>
  <c r="L596" i="2"/>
  <c r="K596" i="2"/>
  <c r="L595" i="2"/>
  <c r="K595" i="2"/>
  <c r="L594" i="2"/>
  <c r="K594" i="2"/>
  <c r="L593" i="2"/>
  <c r="K593" i="2"/>
  <c r="L592" i="2"/>
  <c r="K592" i="2"/>
  <c r="L591" i="2"/>
  <c r="K591" i="2"/>
  <c r="L590" i="2"/>
  <c r="K590" i="2"/>
  <c r="L589" i="2"/>
  <c r="K589" i="2"/>
  <c r="L588" i="2"/>
  <c r="K588" i="2"/>
  <c r="L587" i="2"/>
  <c r="K587" i="2"/>
  <c r="L586" i="2"/>
  <c r="K586" i="2"/>
  <c r="L585" i="2"/>
  <c r="K585" i="2"/>
  <c r="L584" i="2"/>
  <c r="K584" i="2"/>
  <c r="L583" i="2"/>
  <c r="K583" i="2"/>
  <c r="L582" i="2"/>
  <c r="K582" i="2"/>
  <c r="L581" i="2"/>
  <c r="K581" i="2"/>
  <c r="L580" i="2"/>
  <c r="K580" i="2"/>
  <c r="L579" i="2"/>
  <c r="K579" i="2"/>
  <c r="L578" i="2"/>
  <c r="K578" i="2"/>
  <c r="L577" i="2"/>
  <c r="K577" i="2"/>
  <c r="L576" i="2"/>
  <c r="K576" i="2"/>
  <c r="L575" i="2"/>
  <c r="K575" i="2"/>
  <c r="L574" i="2"/>
  <c r="K574" i="2"/>
  <c r="L573" i="2"/>
  <c r="K573" i="2"/>
  <c r="L572" i="2"/>
  <c r="K572" i="2"/>
  <c r="L571" i="2"/>
  <c r="K571" i="2"/>
  <c r="L570" i="2"/>
  <c r="K570" i="2"/>
  <c r="L569" i="2"/>
  <c r="K569" i="2"/>
  <c r="L568" i="2"/>
  <c r="K568" i="2"/>
  <c r="L567" i="2"/>
  <c r="K567" i="2"/>
  <c r="L566" i="2"/>
  <c r="K566" i="2"/>
  <c r="L565" i="2"/>
  <c r="K565" i="2"/>
  <c r="L564" i="2"/>
  <c r="K564" i="2"/>
  <c r="L563" i="2"/>
  <c r="K563" i="2"/>
  <c r="L562" i="2"/>
  <c r="K562" i="2"/>
  <c r="L561" i="2"/>
  <c r="K561" i="2"/>
  <c r="L560" i="2"/>
  <c r="K560" i="2"/>
  <c r="L559" i="2"/>
  <c r="K559" i="2"/>
  <c r="L558" i="2"/>
  <c r="K558" i="2"/>
  <c r="L557" i="2"/>
  <c r="K557" i="2"/>
  <c r="L556" i="2"/>
  <c r="K556" i="2"/>
  <c r="L555" i="2"/>
  <c r="K555" i="2"/>
  <c r="L554" i="2"/>
  <c r="K554" i="2"/>
  <c r="L553" i="2"/>
  <c r="K553" i="2"/>
  <c r="L552" i="2"/>
  <c r="K552" i="2"/>
  <c r="L551" i="2"/>
  <c r="K551" i="2"/>
  <c r="L550" i="2"/>
  <c r="K550" i="2"/>
  <c r="L549" i="2"/>
  <c r="K549" i="2"/>
  <c r="L548" i="2"/>
  <c r="K548" i="2"/>
  <c r="L547" i="2"/>
  <c r="K547" i="2"/>
  <c r="L546" i="2"/>
  <c r="K546" i="2"/>
  <c r="L545" i="2"/>
  <c r="K545" i="2"/>
  <c r="L544" i="2"/>
  <c r="K544" i="2"/>
  <c r="L543" i="2"/>
  <c r="K543" i="2"/>
  <c r="L542" i="2"/>
  <c r="K542" i="2"/>
  <c r="L541" i="2"/>
  <c r="K541" i="2"/>
  <c r="L540" i="2"/>
  <c r="K540" i="2"/>
  <c r="L539" i="2"/>
  <c r="K539" i="2"/>
  <c r="L538" i="2"/>
  <c r="K538" i="2"/>
  <c r="L537" i="2"/>
  <c r="K537" i="2"/>
  <c r="L536" i="2"/>
  <c r="K536" i="2"/>
  <c r="L535" i="2"/>
  <c r="K535" i="2"/>
  <c r="L534" i="2"/>
  <c r="K534" i="2"/>
  <c r="L533" i="2"/>
  <c r="K533" i="2"/>
  <c r="L532" i="2"/>
  <c r="K532" i="2"/>
  <c r="L531" i="2"/>
  <c r="K531" i="2"/>
  <c r="L530" i="2"/>
  <c r="K530" i="2"/>
  <c r="L529" i="2"/>
  <c r="K529" i="2"/>
  <c r="L528" i="2"/>
  <c r="K528" i="2"/>
  <c r="L527" i="2"/>
  <c r="K527" i="2"/>
  <c r="L526" i="2"/>
  <c r="K526" i="2"/>
  <c r="L525" i="2"/>
  <c r="K525" i="2"/>
  <c r="L524" i="2"/>
  <c r="K524" i="2"/>
  <c r="L523" i="2"/>
  <c r="K523" i="2"/>
  <c r="L522" i="2"/>
  <c r="K522" i="2"/>
  <c r="L521" i="2"/>
  <c r="K521" i="2"/>
  <c r="L520" i="2"/>
  <c r="K520" i="2"/>
  <c r="L519" i="2"/>
  <c r="K519" i="2"/>
  <c r="L518" i="2"/>
  <c r="K518" i="2"/>
  <c r="L517" i="2"/>
  <c r="K517" i="2"/>
  <c r="L516" i="2"/>
  <c r="K516" i="2"/>
  <c r="L515" i="2"/>
  <c r="K515" i="2"/>
  <c r="L514" i="2"/>
  <c r="K514" i="2"/>
  <c r="L513" i="2"/>
  <c r="K513" i="2"/>
  <c r="L512" i="2"/>
  <c r="K512" i="2"/>
  <c r="L511" i="2"/>
  <c r="K511" i="2"/>
  <c r="L510" i="2"/>
  <c r="K510" i="2"/>
  <c r="L509" i="2"/>
  <c r="K509" i="2"/>
  <c r="L508" i="2"/>
  <c r="K508" i="2"/>
  <c r="L507" i="2"/>
  <c r="K507" i="2"/>
  <c r="L506" i="2"/>
  <c r="K506" i="2"/>
  <c r="L505" i="2"/>
  <c r="K505" i="2"/>
  <c r="L504" i="2"/>
  <c r="K504" i="2"/>
  <c r="L503" i="2"/>
  <c r="K503" i="2"/>
  <c r="L502" i="2"/>
  <c r="K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88" i="2"/>
  <c r="L487" i="2"/>
  <c r="L486" i="2"/>
  <c r="L485" i="2"/>
  <c r="L484" i="2"/>
  <c r="L483" i="2"/>
  <c r="L482" i="2"/>
  <c r="L481" i="2"/>
  <c r="L480" i="2"/>
  <c r="L479" i="2"/>
  <c r="L478" i="2"/>
  <c r="L477" i="2"/>
  <c r="L476" i="2"/>
  <c r="L475" i="2"/>
  <c r="L474" i="2"/>
  <c r="L473" i="2"/>
  <c r="L472" i="2"/>
  <c r="L471" i="2"/>
  <c r="L470" i="2"/>
  <c r="L469" i="2"/>
  <c r="L468" i="2"/>
  <c r="L467" i="2"/>
  <c r="L466" i="2"/>
  <c r="L465" i="2"/>
  <c r="L464" i="2"/>
  <c r="L463" i="2"/>
  <c r="L462" i="2"/>
  <c r="L461" i="2"/>
  <c r="L460" i="2"/>
  <c r="L459" i="2"/>
  <c r="L458" i="2"/>
  <c r="L457" i="2"/>
  <c r="L456" i="2"/>
  <c r="L455" i="2"/>
  <c r="L454" i="2"/>
  <c r="L453" i="2"/>
  <c r="L452" i="2"/>
  <c r="L451" i="2"/>
  <c r="L450" i="2"/>
  <c r="L449" i="2"/>
  <c r="L448" i="2"/>
  <c r="L447" i="2"/>
  <c r="L446" i="2"/>
  <c r="L445" i="2"/>
  <c r="L444" i="2"/>
  <c r="L443" i="2"/>
  <c r="L442" i="2"/>
  <c r="L441" i="2"/>
  <c r="L440" i="2"/>
  <c r="L439" i="2"/>
  <c r="L438" i="2"/>
  <c r="L437" i="2"/>
  <c r="L436" i="2"/>
  <c r="L435" i="2"/>
  <c r="L434" i="2"/>
  <c r="L433" i="2"/>
  <c r="L432" i="2"/>
  <c r="L431" i="2"/>
  <c r="L430" i="2"/>
  <c r="L429" i="2"/>
  <c r="L428" i="2"/>
  <c r="L427" i="2"/>
  <c r="L426" i="2"/>
  <c r="L425" i="2"/>
  <c r="L424" i="2"/>
  <c r="L423" i="2"/>
  <c r="L422" i="2"/>
  <c r="L421" i="2"/>
  <c r="L420" i="2"/>
  <c r="L419" i="2"/>
  <c r="L418" i="2"/>
  <c r="L417" i="2"/>
  <c r="L416" i="2"/>
  <c r="L415" i="2"/>
  <c r="L414" i="2"/>
  <c r="L413" i="2"/>
  <c r="L412" i="2"/>
  <c r="L411" i="2"/>
  <c r="L410" i="2"/>
  <c r="L409" i="2"/>
  <c r="L408" i="2"/>
  <c r="L407" i="2"/>
  <c r="L406" i="2"/>
  <c r="L405" i="2"/>
  <c r="L404" i="2"/>
  <c r="L403" i="2"/>
  <c r="L402" i="2"/>
  <c r="L401" i="2"/>
  <c r="L400" i="2"/>
  <c r="L399" i="2"/>
  <c r="L398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3" i="2"/>
  <c r="L382" i="2"/>
  <c r="L381" i="2"/>
  <c r="L380" i="2"/>
  <c r="L379" i="2"/>
  <c r="L378" i="2"/>
  <c r="L377" i="2"/>
  <c r="L376" i="2"/>
  <c r="L375" i="2"/>
  <c r="L374" i="2"/>
  <c r="L373" i="2"/>
  <c r="L372" i="2"/>
  <c r="L371" i="2"/>
  <c r="L370" i="2"/>
  <c r="L369" i="2"/>
  <c r="L368" i="2"/>
  <c r="L367" i="2"/>
  <c r="L366" i="2"/>
  <c r="L365" i="2"/>
  <c r="L364" i="2"/>
  <c r="L363" i="2"/>
  <c r="L362" i="2"/>
  <c r="L361" i="2"/>
  <c r="L360" i="2"/>
  <c r="L359" i="2"/>
  <c r="L358" i="2"/>
  <c r="L357" i="2"/>
  <c r="L356" i="2"/>
  <c r="L355" i="2"/>
  <c r="L354" i="2"/>
  <c r="L353" i="2"/>
  <c r="L352" i="2"/>
  <c r="L351" i="2"/>
  <c r="L350" i="2"/>
  <c r="L349" i="2"/>
  <c r="L348" i="2"/>
  <c r="L347" i="2"/>
  <c r="L346" i="2"/>
  <c r="L345" i="2"/>
  <c r="L344" i="2"/>
  <c r="L343" i="2"/>
  <c r="L342" i="2"/>
  <c r="L341" i="2"/>
  <c r="L340" i="2"/>
  <c r="L339" i="2"/>
  <c r="L338" i="2"/>
  <c r="L337" i="2"/>
  <c r="L336" i="2"/>
  <c r="L335" i="2"/>
  <c r="L334" i="2"/>
  <c r="L333" i="2"/>
  <c r="L332" i="2"/>
  <c r="L331" i="2"/>
  <c r="L330" i="2"/>
  <c r="L329" i="2"/>
  <c r="L328" i="2"/>
  <c r="L327" i="2"/>
  <c r="L326" i="2"/>
  <c r="L325" i="2"/>
  <c r="L324" i="2"/>
  <c r="L323" i="2"/>
  <c r="L322" i="2"/>
  <c r="L321" i="2"/>
  <c r="L320" i="2"/>
  <c r="L319" i="2"/>
  <c r="L318" i="2"/>
  <c r="L317" i="2"/>
  <c r="L316" i="2"/>
  <c r="L315" i="2"/>
  <c r="L314" i="2"/>
  <c r="L313" i="2"/>
  <c r="L312" i="2"/>
  <c r="L311" i="2"/>
  <c r="L310" i="2"/>
  <c r="L309" i="2"/>
  <c r="L308" i="2"/>
  <c r="L307" i="2"/>
  <c r="L306" i="2"/>
  <c r="L305" i="2"/>
  <c r="L304" i="2"/>
  <c r="L303" i="2"/>
  <c r="L302" i="2"/>
  <c r="L301" i="2"/>
  <c r="L300" i="2"/>
  <c r="L299" i="2"/>
  <c r="L298" i="2"/>
  <c r="L297" i="2"/>
  <c r="L296" i="2"/>
  <c r="L295" i="2"/>
  <c r="L294" i="2"/>
  <c r="L293" i="2"/>
  <c r="L292" i="2"/>
  <c r="L291" i="2"/>
  <c r="L290" i="2"/>
  <c r="L289" i="2"/>
  <c r="L288" i="2"/>
  <c r="L287" i="2"/>
  <c r="L286" i="2"/>
  <c r="L285" i="2"/>
  <c r="L284" i="2"/>
  <c r="L283" i="2"/>
  <c r="L282" i="2"/>
  <c r="L281" i="2"/>
  <c r="L280" i="2"/>
  <c r="L279" i="2"/>
  <c r="L278" i="2"/>
  <c r="L277" i="2"/>
  <c r="L276" i="2"/>
  <c r="L275" i="2"/>
  <c r="L274" i="2"/>
  <c r="L273" i="2"/>
  <c r="L272" i="2"/>
  <c r="L271" i="2"/>
  <c r="L270" i="2"/>
  <c r="L269" i="2"/>
  <c r="L268" i="2"/>
  <c r="L267" i="2"/>
  <c r="L266" i="2"/>
  <c r="L265" i="2"/>
  <c r="L264" i="2"/>
  <c r="L263" i="2"/>
  <c r="L262" i="2"/>
  <c r="L261" i="2"/>
  <c r="L260" i="2"/>
  <c r="L259" i="2"/>
  <c r="L258" i="2"/>
  <c r="L257" i="2"/>
  <c r="L256" i="2"/>
  <c r="L255" i="2"/>
  <c r="L254" i="2"/>
  <c r="L253" i="2"/>
  <c r="L252" i="2"/>
  <c r="L251" i="2"/>
  <c r="L250" i="2"/>
  <c r="L249" i="2"/>
  <c r="L248" i="2"/>
  <c r="L247" i="2"/>
  <c r="L246" i="2"/>
  <c r="L245" i="2"/>
  <c r="L244" i="2"/>
  <c r="L243" i="2"/>
  <c r="L242" i="2"/>
  <c r="L241" i="2"/>
  <c r="L240" i="2"/>
  <c r="L239" i="2"/>
  <c r="L238" i="2"/>
  <c r="L237" i="2"/>
  <c r="L236" i="2"/>
  <c r="L235" i="2"/>
  <c r="L234" i="2"/>
  <c r="L233" i="2"/>
  <c r="L232" i="2"/>
  <c r="L231" i="2"/>
  <c r="L230" i="2"/>
  <c r="L229" i="2"/>
  <c r="L228" i="2"/>
  <c r="L227" i="2"/>
  <c r="L226" i="2"/>
  <c r="L225" i="2"/>
  <c r="L224" i="2"/>
  <c r="L223" i="2"/>
  <c r="L222" i="2"/>
  <c r="L221" i="2"/>
  <c r="L220" i="2"/>
  <c r="L219" i="2"/>
  <c r="L218" i="2"/>
  <c r="L217" i="2"/>
  <c r="L216" i="2"/>
  <c r="L215" i="2"/>
  <c r="L214" i="2"/>
  <c r="L213" i="2"/>
  <c r="L212" i="2"/>
  <c r="L211" i="2"/>
  <c r="L210" i="2"/>
  <c r="L209" i="2"/>
  <c r="L208" i="2"/>
  <c r="L207" i="2"/>
  <c r="L206" i="2"/>
  <c r="L205" i="2"/>
  <c r="L204" i="2"/>
  <c r="L203" i="2"/>
  <c r="L202" i="2"/>
  <c r="L201" i="2"/>
  <c r="L200" i="2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K501" i="2"/>
  <c r="K500" i="2"/>
  <c r="K499" i="2"/>
  <c r="K498" i="2"/>
  <c r="K497" i="2"/>
  <c r="K496" i="2"/>
  <c r="K495" i="2"/>
  <c r="K494" i="2"/>
  <c r="K493" i="2"/>
  <c r="K492" i="2"/>
  <c r="K491" i="2"/>
  <c r="K490" i="2"/>
  <c r="K489" i="2"/>
  <c r="K488" i="2"/>
  <c r="K487" i="2"/>
  <c r="K486" i="2"/>
  <c r="K485" i="2"/>
  <c r="K484" i="2"/>
  <c r="K483" i="2"/>
  <c r="K482" i="2"/>
  <c r="K481" i="2"/>
  <c r="K480" i="2"/>
  <c r="K479" i="2"/>
  <c r="K478" i="2"/>
  <c r="K477" i="2"/>
  <c r="K476" i="2"/>
  <c r="K475" i="2"/>
  <c r="K474" i="2"/>
  <c r="K473" i="2"/>
  <c r="K472" i="2"/>
  <c r="K471" i="2"/>
  <c r="K470" i="2"/>
  <c r="K469" i="2"/>
  <c r="K468" i="2"/>
  <c r="K467" i="2"/>
  <c r="K466" i="2"/>
  <c r="K465" i="2"/>
  <c r="K464" i="2"/>
  <c r="K463" i="2"/>
  <c r="K462" i="2"/>
  <c r="K461" i="2"/>
  <c r="K460" i="2"/>
  <c r="K459" i="2"/>
  <c r="K458" i="2"/>
  <c r="K457" i="2"/>
  <c r="K456" i="2"/>
  <c r="K455" i="2"/>
  <c r="K454" i="2"/>
  <c r="K453" i="2"/>
  <c r="K452" i="2"/>
  <c r="K451" i="2"/>
  <c r="K450" i="2"/>
  <c r="K449" i="2"/>
  <c r="K448" i="2"/>
  <c r="K447" i="2"/>
  <c r="K446" i="2"/>
  <c r="K445" i="2"/>
  <c r="K444" i="2"/>
  <c r="K443" i="2"/>
  <c r="K442" i="2"/>
  <c r="K441" i="2"/>
  <c r="K440" i="2"/>
  <c r="K439" i="2"/>
  <c r="K438" i="2"/>
  <c r="K437" i="2"/>
  <c r="K436" i="2"/>
  <c r="K435" i="2"/>
  <c r="K434" i="2"/>
  <c r="K433" i="2"/>
  <c r="K432" i="2"/>
  <c r="K431" i="2"/>
  <c r="K430" i="2"/>
  <c r="K429" i="2"/>
  <c r="K428" i="2"/>
  <c r="K427" i="2"/>
  <c r="K426" i="2"/>
  <c r="K425" i="2"/>
  <c r="K424" i="2"/>
  <c r="K423" i="2"/>
  <c r="K422" i="2"/>
  <c r="K421" i="2"/>
  <c r="K420" i="2"/>
  <c r="K419" i="2"/>
  <c r="K418" i="2"/>
  <c r="K417" i="2"/>
  <c r="K416" i="2"/>
  <c r="K415" i="2"/>
  <c r="K414" i="2"/>
  <c r="K413" i="2"/>
  <c r="K412" i="2"/>
  <c r="K411" i="2"/>
  <c r="K410" i="2"/>
  <c r="K409" i="2"/>
  <c r="K408" i="2"/>
  <c r="K407" i="2"/>
  <c r="K406" i="2"/>
  <c r="K405" i="2"/>
  <c r="K404" i="2"/>
  <c r="K403" i="2"/>
  <c r="K402" i="2"/>
  <c r="K401" i="2"/>
  <c r="K400" i="2"/>
  <c r="K399" i="2"/>
  <c r="K398" i="2"/>
  <c r="K397" i="2"/>
  <c r="K396" i="2"/>
  <c r="K395" i="2"/>
  <c r="K394" i="2"/>
  <c r="K393" i="2"/>
  <c r="K392" i="2"/>
  <c r="K391" i="2"/>
  <c r="K390" i="2"/>
  <c r="K389" i="2"/>
  <c r="K388" i="2"/>
  <c r="K387" i="2"/>
  <c r="K386" i="2"/>
  <c r="K385" i="2"/>
  <c r="K384" i="2"/>
  <c r="K383" i="2"/>
  <c r="K382" i="2"/>
  <c r="K381" i="2"/>
  <c r="K380" i="2"/>
  <c r="K379" i="2"/>
  <c r="K378" i="2"/>
  <c r="K377" i="2"/>
  <c r="K376" i="2"/>
  <c r="K375" i="2"/>
  <c r="K374" i="2"/>
  <c r="K373" i="2"/>
  <c r="K372" i="2"/>
  <c r="K371" i="2"/>
  <c r="K370" i="2"/>
  <c r="K369" i="2"/>
  <c r="K368" i="2"/>
  <c r="K367" i="2"/>
  <c r="K366" i="2"/>
  <c r="K365" i="2"/>
  <c r="K364" i="2"/>
  <c r="K363" i="2"/>
  <c r="K362" i="2"/>
  <c r="K361" i="2"/>
  <c r="K360" i="2"/>
  <c r="K359" i="2"/>
  <c r="K358" i="2"/>
  <c r="K357" i="2"/>
  <c r="K356" i="2"/>
  <c r="K355" i="2"/>
  <c r="K354" i="2"/>
  <c r="K353" i="2"/>
  <c r="K352" i="2"/>
  <c r="K351" i="2"/>
  <c r="K350" i="2"/>
  <c r="K349" i="2"/>
  <c r="K348" i="2"/>
  <c r="K347" i="2"/>
  <c r="K346" i="2"/>
  <c r="K345" i="2"/>
  <c r="K344" i="2"/>
  <c r="K343" i="2"/>
  <c r="K342" i="2"/>
  <c r="K341" i="2"/>
  <c r="K340" i="2"/>
  <c r="K339" i="2"/>
  <c r="K338" i="2"/>
  <c r="K337" i="2"/>
  <c r="K336" i="2"/>
  <c r="K335" i="2"/>
  <c r="K334" i="2"/>
  <c r="K333" i="2"/>
  <c r="K332" i="2"/>
  <c r="K331" i="2"/>
  <c r="K330" i="2"/>
  <c r="K329" i="2"/>
  <c r="K328" i="2"/>
  <c r="K327" i="2"/>
  <c r="K326" i="2"/>
  <c r="K325" i="2"/>
  <c r="K324" i="2"/>
  <c r="K323" i="2"/>
  <c r="K322" i="2"/>
  <c r="K321" i="2"/>
  <c r="K320" i="2"/>
  <c r="K319" i="2"/>
  <c r="K318" i="2"/>
  <c r="K317" i="2"/>
  <c r="K316" i="2"/>
  <c r="K315" i="2"/>
  <c r="K314" i="2"/>
  <c r="K313" i="2"/>
  <c r="K312" i="2"/>
  <c r="K311" i="2"/>
  <c r="K310" i="2"/>
  <c r="K309" i="2"/>
  <c r="K308" i="2"/>
  <c r="K307" i="2"/>
  <c r="K306" i="2"/>
  <c r="K305" i="2"/>
  <c r="K304" i="2"/>
  <c r="K303" i="2"/>
  <c r="K302" i="2"/>
  <c r="K301" i="2"/>
  <c r="K300" i="2"/>
  <c r="K299" i="2"/>
  <c r="K298" i="2"/>
  <c r="K297" i="2"/>
  <c r="K296" i="2"/>
  <c r="K295" i="2"/>
  <c r="K294" i="2"/>
  <c r="K293" i="2"/>
  <c r="K292" i="2"/>
  <c r="K291" i="2"/>
  <c r="K290" i="2"/>
  <c r="K289" i="2"/>
  <c r="K288" i="2"/>
  <c r="K287" i="2"/>
  <c r="K286" i="2"/>
  <c r="K285" i="2"/>
  <c r="K284" i="2"/>
  <c r="K283" i="2"/>
  <c r="K282" i="2"/>
  <c r="K281" i="2"/>
  <c r="K280" i="2"/>
  <c r="K279" i="2"/>
  <c r="K278" i="2"/>
  <c r="K277" i="2"/>
  <c r="K276" i="2"/>
  <c r="K275" i="2"/>
  <c r="K274" i="2"/>
  <c r="K273" i="2"/>
  <c r="K272" i="2"/>
  <c r="K271" i="2"/>
  <c r="K270" i="2"/>
  <c r="K269" i="2"/>
  <c r="K268" i="2"/>
  <c r="K267" i="2"/>
  <c r="K266" i="2"/>
  <c r="K265" i="2"/>
  <c r="K264" i="2"/>
  <c r="K263" i="2"/>
  <c r="K262" i="2"/>
  <c r="K261" i="2"/>
  <c r="K260" i="2"/>
  <c r="K259" i="2"/>
  <c r="K258" i="2"/>
  <c r="K257" i="2"/>
  <c r="K256" i="2"/>
  <c r="K255" i="2"/>
  <c r="K254" i="2"/>
  <c r="K253" i="2"/>
  <c r="K252" i="2"/>
  <c r="K251" i="2"/>
  <c r="K250" i="2"/>
  <c r="K249" i="2"/>
  <c r="K248" i="2"/>
  <c r="K247" i="2"/>
  <c r="K246" i="2"/>
  <c r="K245" i="2"/>
  <c r="K244" i="2"/>
  <c r="K243" i="2"/>
  <c r="K242" i="2"/>
  <c r="K241" i="2"/>
  <c r="K240" i="2"/>
  <c r="K239" i="2"/>
  <c r="K238" i="2"/>
  <c r="K237" i="2"/>
  <c r="K236" i="2"/>
  <c r="K235" i="2"/>
  <c r="K234" i="2"/>
  <c r="K233" i="2"/>
  <c r="K232" i="2"/>
  <c r="K231" i="2"/>
  <c r="K230" i="2"/>
  <c r="K229" i="2"/>
  <c r="K228" i="2"/>
  <c r="K227" i="2"/>
  <c r="K226" i="2"/>
  <c r="K225" i="2"/>
  <c r="K224" i="2"/>
  <c r="K223" i="2"/>
  <c r="K222" i="2"/>
  <c r="K221" i="2"/>
  <c r="K220" i="2"/>
  <c r="K219" i="2"/>
  <c r="K218" i="2"/>
  <c r="K217" i="2"/>
  <c r="K216" i="2"/>
  <c r="K215" i="2"/>
  <c r="K214" i="2"/>
  <c r="K213" i="2"/>
  <c r="K212" i="2"/>
  <c r="K211" i="2"/>
  <c r="K210" i="2"/>
  <c r="K209" i="2"/>
  <c r="K208" i="2"/>
  <c r="K207" i="2"/>
  <c r="K206" i="2"/>
  <c r="K205" i="2"/>
  <c r="K204" i="2"/>
  <c r="K203" i="2"/>
  <c r="K202" i="2"/>
  <c r="K201" i="2"/>
  <c r="K200" i="2"/>
  <c r="K199" i="2"/>
  <c r="K198" i="2"/>
  <c r="K197" i="2"/>
  <c r="K196" i="2"/>
  <c r="K195" i="2"/>
  <c r="K194" i="2"/>
  <c r="K193" i="2"/>
  <c r="K192" i="2"/>
  <c r="K191" i="2"/>
  <c r="K190" i="2"/>
  <c r="K189" i="2"/>
  <c r="K188" i="2"/>
  <c r="K187" i="2"/>
  <c r="K186" i="2"/>
  <c r="K185" i="2"/>
  <c r="K184" i="2"/>
  <c r="K183" i="2"/>
  <c r="K182" i="2"/>
  <c r="K181" i="2"/>
  <c r="K180" i="2"/>
  <c r="K179" i="2"/>
  <c r="K178" i="2"/>
  <c r="K177" i="2"/>
  <c r="K176" i="2"/>
  <c r="K175" i="2"/>
  <c r="K174" i="2"/>
  <c r="K173" i="2"/>
  <c r="K172" i="2"/>
  <c r="K171" i="2"/>
  <c r="K170" i="2"/>
  <c r="K169" i="2"/>
  <c r="K168" i="2"/>
  <c r="K167" i="2"/>
  <c r="K166" i="2"/>
  <c r="K165" i="2"/>
  <c r="K164" i="2"/>
  <c r="K163" i="2"/>
  <c r="K162" i="2"/>
  <c r="K161" i="2"/>
  <c r="K160" i="2"/>
  <c r="K159" i="2"/>
  <c r="K158" i="2"/>
  <c r="K157" i="2"/>
  <c r="K156" i="2"/>
  <c r="K155" i="2"/>
  <c r="K154" i="2"/>
  <c r="K153" i="2"/>
  <c r="K152" i="2"/>
  <c r="K151" i="2"/>
  <c r="K150" i="2"/>
  <c r="K149" i="2"/>
  <c r="K148" i="2"/>
  <c r="K147" i="2"/>
  <c r="K146" i="2"/>
  <c r="K145" i="2"/>
  <c r="K144" i="2"/>
  <c r="K143" i="2"/>
  <c r="K142" i="2"/>
  <c r="K141" i="2"/>
  <c r="K140" i="2"/>
  <c r="K139" i="2"/>
  <c r="K138" i="2"/>
  <c r="K137" i="2"/>
  <c r="K136" i="2"/>
  <c r="K135" i="2"/>
  <c r="K134" i="2"/>
  <c r="K133" i="2"/>
  <c r="K132" i="2"/>
  <c r="K131" i="2"/>
  <c r="K130" i="2"/>
  <c r="K129" i="2"/>
  <c r="K128" i="2"/>
  <c r="K127" i="2"/>
  <c r="K126" i="2"/>
  <c r="K125" i="2"/>
  <c r="K124" i="2"/>
  <c r="K123" i="2"/>
  <c r="K122" i="2"/>
  <c r="K121" i="2"/>
  <c r="K120" i="2"/>
  <c r="K119" i="2"/>
  <c r="K118" i="2"/>
  <c r="K117" i="2"/>
  <c r="K116" i="2"/>
  <c r="K115" i="2"/>
  <c r="K114" i="2"/>
  <c r="K113" i="2"/>
  <c r="K112" i="2"/>
  <c r="K111" i="2"/>
  <c r="K110" i="2"/>
  <c r="K109" i="2"/>
  <c r="K108" i="2"/>
  <c r="K107" i="2"/>
  <c r="K106" i="2"/>
  <c r="K105" i="2"/>
  <c r="K104" i="2"/>
  <c r="K103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K89" i="2"/>
  <c r="K88" i="2"/>
  <c r="K87" i="2"/>
  <c r="K86" i="2"/>
  <c r="K85" i="2"/>
  <c r="K84" i="2"/>
  <c r="K83" i="2"/>
  <c r="K82" i="2"/>
  <c r="K81" i="2"/>
  <c r="K80" i="2"/>
  <c r="K79" i="2"/>
  <c r="K78" i="2"/>
  <c r="K77" i="2"/>
  <c r="K76" i="2"/>
  <c r="K75" i="2"/>
  <c r="K74" i="2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I497" i="1"/>
  <c r="I496" i="1"/>
  <c r="I492" i="1"/>
  <c r="I491" i="1"/>
  <c r="I487" i="1"/>
  <c r="I486" i="1"/>
  <c r="I482" i="1"/>
  <c r="I481" i="1"/>
  <c r="I477" i="1"/>
  <c r="I476" i="1"/>
  <c r="I472" i="1"/>
  <c r="I471" i="1"/>
  <c r="I469" i="1"/>
  <c r="I466" i="1"/>
  <c r="I462" i="1"/>
  <c r="I461" i="1"/>
  <c r="I457" i="1"/>
  <c r="I451" i="1"/>
  <c r="I449" i="1"/>
  <c r="I447" i="1"/>
  <c r="I446" i="1"/>
  <c r="I444" i="1"/>
  <c r="I439" i="1"/>
  <c r="I437" i="1"/>
  <c r="I436" i="1"/>
  <c r="I434" i="1"/>
  <c r="I432" i="1"/>
  <c r="I429" i="1"/>
  <c r="I427" i="1"/>
  <c r="I426" i="1"/>
  <c r="I422" i="1"/>
  <c r="I421" i="1"/>
  <c r="I417" i="1"/>
  <c r="I416" i="1"/>
  <c r="I414" i="1"/>
  <c r="I412" i="1"/>
  <c r="I411" i="1"/>
  <c r="I407" i="1"/>
  <c r="I406" i="1"/>
  <c r="I404" i="1"/>
  <c r="I402" i="1"/>
  <c r="I401" i="1"/>
  <c r="I397" i="1"/>
  <c r="I392" i="1"/>
  <c r="I389" i="1"/>
  <c r="I387" i="1"/>
  <c r="I384" i="1"/>
  <c r="I381" i="1"/>
  <c r="I379" i="1"/>
  <c r="I377" i="1"/>
  <c r="I374" i="1"/>
  <c r="I369" i="1"/>
  <c r="I366" i="1"/>
  <c r="I364" i="1"/>
  <c r="I362" i="1"/>
  <c r="I361" i="1"/>
  <c r="I359" i="1"/>
  <c r="I356" i="1"/>
  <c r="I352" i="1"/>
  <c r="I351" i="1"/>
  <c r="I349" i="1"/>
  <c r="I347" i="1"/>
  <c r="I346" i="1"/>
  <c r="I341" i="1"/>
  <c r="I339" i="1"/>
  <c r="I337" i="1"/>
  <c r="I336" i="1"/>
  <c r="I334" i="1"/>
  <c r="I332" i="1"/>
  <c r="I296" i="1"/>
  <c r="I292" i="1"/>
  <c r="I291" i="1"/>
  <c r="I289" i="1"/>
  <c r="I286" i="1"/>
  <c r="I284" i="1"/>
  <c r="I282" i="1"/>
  <c r="I279" i="1"/>
  <c r="I277" i="1"/>
  <c r="I274" i="1"/>
  <c r="I272" i="1"/>
  <c r="I271" i="1"/>
  <c r="I269" i="1"/>
  <c r="I267" i="1"/>
  <c r="I264" i="1"/>
  <c r="I262" i="1"/>
  <c r="I261" i="1"/>
  <c r="I257" i="1"/>
  <c r="I254" i="1"/>
  <c r="I249" i="1"/>
  <c r="I247" i="1"/>
  <c r="I243" i="1"/>
  <c r="I242" i="1"/>
  <c r="I240" i="1"/>
  <c r="I238" i="1"/>
  <c r="I237" i="1"/>
  <c r="I235" i="1"/>
  <c r="I232" i="1"/>
  <c r="I227" i="1"/>
  <c r="I223" i="1"/>
  <c r="I222" i="1"/>
  <c r="I220" i="1"/>
  <c r="I215" i="1"/>
  <c r="I213" i="1"/>
  <c r="I212" i="1"/>
  <c r="I210" i="1"/>
  <c r="I207" i="1"/>
  <c r="I205" i="1"/>
  <c r="I203" i="1"/>
  <c r="I202" i="1"/>
  <c r="I200" i="1"/>
  <c r="I198" i="1"/>
  <c r="I193" i="1"/>
  <c r="I192" i="1"/>
  <c r="I188" i="1"/>
  <c r="I186" i="1"/>
  <c r="I185" i="1"/>
  <c r="I181" i="1"/>
  <c r="I180" i="1"/>
  <c r="I177" i="1"/>
  <c r="I176" i="1"/>
  <c r="I175" i="1"/>
  <c r="I173" i="1"/>
  <c r="I168" i="1"/>
  <c r="I167" i="1"/>
  <c r="I166" i="1"/>
  <c r="I165" i="1"/>
  <c r="I163" i="1"/>
  <c r="I162" i="1"/>
  <c r="I161" i="1"/>
  <c r="I158" i="1"/>
  <c r="I157" i="1"/>
  <c r="I156" i="1"/>
  <c r="I155" i="1"/>
  <c r="I153" i="1"/>
  <c r="I152" i="1"/>
  <c r="I151" i="1"/>
  <c r="I150" i="1"/>
  <c r="I148" i="1"/>
  <c r="I147" i="1"/>
  <c r="I146" i="1"/>
  <c r="I145" i="1"/>
  <c r="I143" i="1"/>
  <c r="I142" i="1"/>
  <c r="I141" i="1"/>
  <c r="I138" i="1"/>
  <c r="I137" i="1"/>
  <c r="I136" i="1"/>
  <c r="I135" i="1"/>
  <c r="I133" i="1"/>
  <c r="I131" i="1"/>
  <c r="I130" i="1"/>
  <c r="I127" i="1"/>
  <c r="I126" i="1"/>
  <c r="I125" i="1"/>
  <c r="I123" i="1"/>
  <c r="I122" i="1"/>
  <c r="I121" i="1"/>
  <c r="I118" i="1"/>
  <c r="I116" i="1"/>
  <c r="I115" i="1"/>
  <c r="I113" i="1"/>
  <c r="I112" i="1"/>
  <c r="I110" i="1"/>
  <c r="I108" i="1"/>
  <c r="I106" i="1"/>
  <c r="I105" i="1"/>
  <c r="I102" i="1"/>
  <c r="I101" i="1"/>
  <c r="I100" i="1"/>
  <c r="I98" i="1"/>
  <c r="I97" i="1"/>
  <c r="I96" i="1"/>
  <c r="I93" i="1"/>
  <c r="I90" i="1"/>
  <c r="I87" i="1"/>
  <c r="I85" i="1"/>
  <c r="I83" i="1"/>
  <c r="I82" i="1"/>
  <c r="H80" i="1"/>
  <c r="I77" i="1"/>
  <c r="I76" i="1"/>
  <c r="I75" i="1"/>
  <c r="I73" i="1"/>
  <c r="I72" i="1"/>
  <c r="I71" i="1"/>
  <c r="I70" i="1"/>
  <c r="I65" i="1"/>
  <c r="I63" i="1"/>
  <c r="I62" i="1"/>
  <c r="I61" i="1"/>
  <c r="I60" i="1"/>
  <c r="I58" i="1"/>
  <c r="I55" i="1"/>
  <c r="I53" i="1"/>
  <c r="H52" i="1"/>
  <c r="I51" i="1"/>
  <c r="I50" i="1"/>
  <c r="I48" i="1"/>
  <c r="I46" i="1"/>
  <c r="I43" i="1"/>
  <c r="I42" i="1"/>
  <c r="I41" i="1"/>
  <c r="I40" i="1"/>
  <c r="I38" i="1"/>
  <c r="I37" i="1"/>
  <c r="H33" i="1"/>
  <c r="I32" i="1"/>
  <c r="I31" i="1"/>
  <c r="I30" i="1"/>
  <c r="I28" i="1"/>
  <c r="I27" i="1"/>
  <c r="I23" i="1"/>
  <c r="I22" i="1"/>
  <c r="I21" i="1"/>
  <c r="I20" i="1"/>
  <c r="I19" i="1"/>
  <c r="I18" i="1"/>
  <c r="H17" i="1"/>
  <c r="I16" i="1"/>
  <c r="I13" i="1"/>
  <c r="I12" i="1"/>
  <c r="I11" i="1"/>
  <c r="I10" i="1"/>
  <c r="I9" i="1"/>
  <c r="I8" i="1"/>
  <c r="I7" i="1"/>
  <c r="I6" i="1"/>
  <c r="I3" i="1"/>
  <c r="I2" i="1"/>
  <c r="I17" i="1" l="1"/>
  <c r="I33" i="1"/>
  <c r="I52" i="1"/>
  <c r="H71" i="1"/>
  <c r="H83" i="1"/>
  <c r="H96" i="1"/>
  <c r="H125" i="1"/>
  <c r="H156" i="1"/>
  <c r="H173" i="1"/>
  <c r="H247" i="1"/>
  <c r="H19" i="1"/>
  <c r="H40" i="1"/>
  <c r="H55" i="1"/>
  <c r="H232" i="1"/>
  <c r="H2" i="1"/>
  <c r="H22" i="1"/>
  <c r="H73" i="1"/>
  <c r="H98" i="1"/>
  <c r="H131" i="1"/>
  <c r="H162" i="1"/>
  <c r="H207" i="1"/>
  <c r="H261" i="1"/>
  <c r="H284" i="1"/>
  <c r="H339" i="1"/>
  <c r="H42" i="1"/>
  <c r="H58" i="1"/>
  <c r="H215" i="1"/>
  <c r="H7" i="1"/>
  <c r="H77" i="1"/>
  <c r="H102" i="1"/>
  <c r="H180" i="1"/>
  <c r="H192" i="1"/>
  <c r="H254" i="1"/>
  <c r="H269" i="1"/>
  <c r="H292" i="1"/>
  <c r="H309" i="1"/>
  <c r="H359" i="1"/>
  <c r="H374" i="1"/>
  <c r="H387" i="1"/>
  <c r="H61" i="1"/>
  <c r="H223" i="1"/>
  <c r="H240" i="1"/>
  <c r="H317" i="1"/>
  <c r="H9" i="1"/>
  <c r="H27" i="1"/>
  <c r="H65" i="1"/>
  <c r="H90" i="1"/>
  <c r="H137" i="1"/>
  <c r="H167" i="1"/>
  <c r="H186" i="1"/>
  <c r="H277" i="1"/>
  <c r="H12" i="1"/>
  <c r="H46" i="1"/>
  <c r="H30" i="1"/>
  <c r="H108" i="1"/>
  <c r="H143" i="1"/>
  <c r="H200" i="1"/>
  <c r="H352" i="1"/>
  <c r="H366" i="1"/>
  <c r="H324" i="1"/>
  <c r="H150" i="1"/>
  <c r="I14" i="1"/>
  <c r="H14" i="1"/>
  <c r="I24" i="1"/>
  <c r="H24" i="1"/>
  <c r="I35" i="1"/>
  <c r="H35" i="1"/>
  <c r="I56" i="1"/>
  <c r="H56" i="1"/>
  <c r="I67" i="1"/>
  <c r="H67" i="1"/>
  <c r="I91" i="1"/>
  <c r="H91" i="1"/>
  <c r="I114" i="1"/>
  <c r="H114" i="1"/>
  <c r="I128" i="1"/>
  <c r="H128" i="1"/>
  <c r="I139" i="1"/>
  <c r="H139" i="1"/>
  <c r="I149" i="1"/>
  <c r="H149" i="1"/>
  <c r="I159" i="1"/>
  <c r="H159" i="1"/>
  <c r="I170" i="1"/>
  <c r="H170" i="1"/>
  <c r="I182" i="1"/>
  <c r="H182" i="1"/>
  <c r="I195" i="1"/>
  <c r="H195" i="1"/>
  <c r="I217" i="1"/>
  <c r="H217" i="1"/>
  <c r="I229" i="1"/>
  <c r="H229" i="1"/>
  <c r="I251" i="1"/>
  <c r="H251" i="1"/>
  <c r="I265" i="1"/>
  <c r="H265" i="1"/>
  <c r="I275" i="1"/>
  <c r="H275" i="1"/>
  <c r="I287" i="1"/>
  <c r="H287" i="1"/>
  <c r="I331" i="1"/>
  <c r="H331" i="1"/>
  <c r="I342" i="1"/>
  <c r="H342" i="1"/>
  <c r="I354" i="1"/>
  <c r="H354" i="1"/>
  <c r="I367" i="1"/>
  <c r="H367" i="1"/>
  <c r="I394" i="1"/>
  <c r="H394" i="1"/>
  <c r="I409" i="1"/>
  <c r="H409" i="1"/>
  <c r="I419" i="1"/>
  <c r="H419" i="1"/>
  <c r="I430" i="1"/>
  <c r="H430" i="1"/>
  <c r="I441" i="1"/>
  <c r="H441" i="1"/>
  <c r="I453" i="1"/>
  <c r="H453" i="1"/>
  <c r="I467" i="1"/>
  <c r="H467" i="1"/>
  <c r="I478" i="1"/>
  <c r="H478" i="1"/>
  <c r="I489" i="1"/>
  <c r="H489" i="1"/>
  <c r="I500" i="1"/>
  <c r="H500" i="1"/>
  <c r="I319" i="1"/>
  <c r="H319" i="1"/>
  <c r="H115" i="1"/>
  <c r="H332" i="1"/>
  <c r="I4" i="1"/>
  <c r="H4" i="1"/>
  <c r="I5" i="1"/>
  <c r="H5" i="1"/>
  <c r="I15" i="1"/>
  <c r="H15" i="1"/>
  <c r="I26" i="1"/>
  <c r="H26" i="1"/>
  <c r="I36" i="1"/>
  <c r="H36" i="1"/>
  <c r="I47" i="1"/>
  <c r="H47" i="1"/>
  <c r="I57" i="1"/>
  <c r="H57" i="1"/>
  <c r="I68" i="1"/>
  <c r="H68" i="1"/>
  <c r="I79" i="1"/>
  <c r="H79" i="1"/>
  <c r="I92" i="1"/>
  <c r="H92" i="1"/>
  <c r="I103" i="1"/>
  <c r="H103" i="1"/>
  <c r="I129" i="1"/>
  <c r="H129" i="1"/>
  <c r="I140" i="1"/>
  <c r="H140" i="1"/>
  <c r="I160" i="1"/>
  <c r="H160" i="1"/>
  <c r="I172" i="1"/>
  <c r="H172" i="1"/>
  <c r="I183" i="1"/>
  <c r="H183" i="1"/>
  <c r="I196" i="1"/>
  <c r="H196" i="1"/>
  <c r="I208" i="1"/>
  <c r="H208" i="1"/>
  <c r="I218" i="1"/>
  <c r="H218" i="1"/>
  <c r="I230" i="1"/>
  <c r="H230" i="1"/>
  <c r="I241" i="1"/>
  <c r="H241" i="1"/>
  <c r="I253" i="1"/>
  <c r="H253" i="1"/>
  <c r="I266" i="1"/>
  <c r="H266" i="1"/>
  <c r="I276" i="1"/>
  <c r="H276" i="1"/>
  <c r="I288" i="1"/>
  <c r="H288" i="1"/>
  <c r="I344" i="1"/>
  <c r="H344" i="1"/>
  <c r="I355" i="1"/>
  <c r="H355" i="1"/>
  <c r="I368" i="1"/>
  <c r="H368" i="1"/>
  <c r="I382" i="1"/>
  <c r="H382" i="1"/>
  <c r="I395" i="1"/>
  <c r="H395" i="1"/>
  <c r="I410" i="1"/>
  <c r="H410" i="1"/>
  <c r="I420" i="1"/>
  <c r="H420" i="1"/>
  <c r="I431" i="1"/>
  <c r="H431" i="1"/>
  <c r="I443" i="1"/>
  <c r="H443" i="1"/>
  <c r="I454" i="1"/>
  <c r="H454" i="1"/>
  <c r="I468" i="1"/>
  <c r="H468" i="1"/>
  <c r="I479" i="1"/>
  <c r="H479" i="1"/>
  <c r="I490" i="1"/>
  <c r="H490" i="1"/>
  <c r="I329" i="1"/>
  <c r="H329" i="1"/>
  <c r="I318" i="1"/>
  <c r="H318" i="1"/>
  <c r="I308" i="1"/>
  <c r="H308" i="1"/>
  <c r="H381" i="1"/>
  <c r="H402" i="1"/>
  <c r="H416" i="1"/>
  <c r="H432" i="1"/>
  <c r="H447" i="1"/>
  <c r="H471" i="1"/>
  <c r="H481" i="1"/>
  <c r="H491" i="1"/>
  <c r="I455" i="1"/>
  <c r="H455" i="1"/>
  <c r="I480" i="1"/>
  <c r="H480" i="1"/>
  <c r="I328" i="1"/>
  <c r="H328" i="1"/>
  <c r="H3" i="1"/>
  <c r="H8" i="1"/>
  <c r="H13" i="1"/>
  <c r="H18" i="1"/>
  <c r="H23" i="1"/>
  <c r="H28" i="1"/>
  <c r="H41" i="1"/>
  <c r="H53" i="1"/>
  <c r="H60" i="1"/>
  <c r="H72" i="1"/>
  <c r="H85" i="1"/>
  <c r="H97" i="1"/>
  <c r="H110" i="1"/>
  <c r="H116" i="1"/>
  <c r="H121" i="1"/>
  <c r="H126" i="1"/>
  <c r="H138" i="1"/>
  <c r="H145" i="1"/>
  <c r="H151" i="1"/>
  <c r="H157" i="1"/>
  <c r="H163" i="1"/>
  <c r="H168" i="1"/>
  <c r="H175" i="1"/>
  <c r="H181" i="1"/>
  <c r="H193" i="1"/>
  <c r="H242" i="1"/>
  <c r="H262" i="1"/>
  <c r="H271" i="1"/>
  <c r="H279" i="1"/>
  <c r="H286" i="1"/>
  <c r="H311" i="1"/>
  <c r="H326" i="1"/>
  <c r="H341" i="1"/>
  <c r="H346" i="1"/>
  <c r="H389" i="1"/>
  <c r="H397" i="1"/>
  <c r="H404" i="1"/>
  <c r="H417" i="1"/>
  <c r="H426" i="1"/>
  <c r="H434" i="1"/>
  <c r="H449" i="1"/>
  <c r="H457" i="1"/>
  <c r="H472" i="1"/>
  <c r="H482" i="1"/>
  <c r="H492" i="1"/>
  <c r="I470" i="1"/>
  <c r="H470" i="1"/>
  <c r="I219" i="1"/>
  <c r="H219" i="1"/>
  <c r="I59" i="1"/>
  <c r="H59" i="1"/>
  <c r="I278" i="1"/>
  <c r="H278" i="1"/>
  <c r="I398" i="1"/>
  <c r="H398" i="1"/>
  <c r="I433" i="1"/>
  <c r="H433" i="1"/>
  <c r="I39" i="1"/>
  <c r="H39" i="1"/>
  <c r="I258" i="1"/>
  <c r="H258" i="1"/>
  <c r="I423" i="1"/>
  <c r="H423" i="1"/>
  <c r="H48" i="1"/>
  <c r="H122" i="1"/>
  <c r="H127" i="1"/>
  <c r="H133" i="1"/>
  <c r="H146" i="1"/>
  <c r="H152" i="1"/>
  <c r="H158" i="1"/>
  <c r="H176" i="1"/>
  <c r="H188" i="1"/>
  <c r="H202" i="1"/>
  <c r="H210" i="1"/>
  <c r="H227" i="1"/>
  <c r="H235" i="1"/>
  <c r="H243" i="1"/>
  <c r="H249" i="1"/>
  <c r="H264" i="1"/>
  <c r="H272" i="1"/>
  <c r="H296" i="1"/>
  <c r="H304" i="1"/>
  <c r="H312" i="1"/>
  <c r="H327" i="1"/>
  <c r="H334" i="1"/>
  <c r="H347" i="1"/>
  <c r="H356" i="1"/>
  <c r="H361" i="1"/>
  <c r="H369" i="1"/>
  <c r="H377" i="1"/>
  <c r="H411" i="1"/>
  <c r="H427" i="1"/>
  <c r="H436" i="1"/>
  <c r="H451" i="1"/>
  <c r="H466" i="1"/>
  <c r="I104" i="1"/>
  <c r="H104" i="1"/>
  <c r="I209" i="1"/>
  <c r="H209" i="1"/>
  <c r="I199" i="1"/>
  <c r="H199" i="1"/>
  <c r="I268" i="1"/>
  <c r="H268" i="1"/>
  <c r="I385" i="1"/>
  <c r="H385" i="1"/>
  <c r="I29" i="1"/>
  <c r="H29" i="1"/>
  <c r="I211" i="1"/>
  <c r="H211" i="1"/>
  <c r="I373" i="1"/>
  <c r="H373" i="1"/>
  <c r="I494" i="1"/>
  <c r="H494" i="1"/>
  <c r="I313" i="1"/>
  <c r="H313" i="1"/>
  <c r="I303" i="1"/>
  <c r="H303" i="1"/>
  <c r="H10" i="1"/>
  <c r="H20" i="1"/>
  <c r="H31" i="1"/>
  <c r="H37" i="1"/>
  <c r="H43" i="1"/>
  <c r="H50" i="1"/>
  <c r="H62" i="1"/>
  <c r="H75" i="1"/>
  <c r="H87" i="1"/>
  <c r="H93" i="1"/>
  <c r="H100" i="1"/>
  <c r="H106" i="1"/>
  <c r="H112" i="1"/>
  <c r="H118" i="1"/>
  <c r="H123" i="1"/>
  <c r="H135" i="1"/>
  <c r="H141" i="1"/>
  <c r="H147" i="1"/>
  <c r="H153" i="1"/>
  <c r="H165" i="1"/>
  <c r="H177" i="1"/>
  <c r="H203" i="1"/>
  <c r="H212" i="1"/>
  <c r="H220" i="1"/>
  <c r="H237" i="1"/>
  <c r="H257" i="1"/>
  <c r="H274" i="1"/>
  <c r="H289" i="1"/>
  <c r="H306" i="1"/>
  <c r="H314" i="1"/>
  <c r="H321" i="1"/>
  <c r="H336" i="1"/>
  <c r="H349" i="1"/>
  <c r="H362" i="1"/>
  <c r="H379" i="1"/>
  <c r="H384" i="1"/>
  <c r="H392" i="1"/>
  <c r="H406" i="1"/>
  <c r="H412" i="1"/>
  <c r="H421" i="1"/>
  <c r="H429" i="1"/>
  <c r="H437" i="1"/>
  <c r="H444" i="1"/>
  <c r="H461" i="1"/>
  <c r="H476" i="1"/>
  <c r="H486" i="1"/>
  <c r="H496" i="1"/>
  <c r="I323" i="1"/>
  <c r="H323" i="1"/>
  <c r="I300" i="1"/>
  <c r="H300" i="1"/>
  <c r="I69" i="1"/>
  <c r="H69" i="1"/>
  <c r="I49" i="1"/>
  <c r="H49" i="1"/>
  <c r="I290" i="1"/>
  <c r="H290" i="1"/>
  <c r="I234" i="1"/>
  <c r="H234" i="1"/>
  <c r="I413" i="1"/>
  <c r="H413" i="1"/>
  <c r="I305" i="1"/>
  <c r="H305" i="1"/>
  <c r="H105" i="1"/>
  <c r="I144" i="1"/>
  <c r="H144" i="1"/>
  <c r="I270" i="1"/>
  <c r="H270" i="1"/>
  <c r="I388" i="1"/>
  <c r="H388" i="1"/>
  <c r="I435" i="1"/>
  <c r="H435" i="1"/>
  <c r="I460" i="1"/>
  <c r="H460" i="1"/>
  <c r="I484" i="1"/>
  <c r="H484" i="1"/>
  <c r="I325" i="1"/>
  <c r="H325" i="1"/>
  <c r="I80" i="1"/>
  <c r="I189" i="1"/>
  <c r="H189" i="1"/>
  <c r="I236" i="1"/>
  <c r="H236" i="1"/>
  <c r="I283" i="1"/>
  <c r="H283" i="1"/>
  <c r="I338" i="1"/>
  <c r="H338" i="1"/>
  <c r="I363" i="1"/>
  <c r="H363" i="1"/>
  <c r="I415" i="1"/>
  <c r="H415" i="1"/>
  <c r="I448" i="1"/>
  <c r="H448" i="1"/>
  <c r="I485" i="1"/>
  <c r="H485" i="1"/>
  <c r="I74" i="1"/>
  <c r="H74" i="1"/>
  <c r="I99" i="1"/>
  <c r="H99" i="1"/>
  <c r="I179" i="1"/>
  <c r="H179" i="1"/>
  <c r="I204" i="1"/>
  <c r="H204" i="1"/>
  <c r="I224" i="1"/>
  <c r="H224" i="1"/>
  <c r="I295" i="1"/>
  <c r="H295" i="1"/>
  <c r="I390" i="1"/>
  <c r="H390" i="1"/>
  <c r="I475" i="1"/>
  <c r="H475" i="1"/>
  <c r="I54" i="1"/>
  <c r="H54" i="1"/>
  <c r="I89" i="1"/>
  <c r="H89" i="1"/>
  <c r="I226" i="1"/>
  <c r="H226" i="1"/>
  <c r="I263" i="1"/>
  <c r="H263" i="1"/>
  <c r="I273" i="1"/>
  <c r="H273" i="1"/>
  <c r="I285" i="1"/>
  <c r="H285" i="1"/>
  <c r="I340" i="1"/>
  <c r="H340" i="1"/>
  <c r="I365" i="1"/>
  <c r="H365" i="1"/>
  <c r="I378" i="1"/>
  <c r="H378" i="1"/>
  <c r="I428" i="1"/>
  <c r="H428" i="1"/>
  <c r="I438" i="1"/>
  <c r="H438" i="1"/>
  <c r="I450" i="1"/>
  <c r="H450" i="1"/>
  <c r="I463" i="1"/>
  <c r="H463" i="1"/>
  <c r="I498" i="1"/>
  <c r="H498" i="1"/>
  <c r="H6" i="1"/>
  <c r="H11" i="1"/>
  <c r="H16" i="1"/>
  <c r="H21" i="1"/>
  <c r="H32" i="1"/>
  <c r="H38" i="1"/>
  <c r="H51" i="1"/>
  <c r="H63" i="1"/>
  <c r="H70" i="1"/>
  <c r="H76" i="1"/>
  <c r="H82" i="1"/>
  <c r="H101" i="1"/>
  <c r="H113" i="1"/>
  <c r="H130" i="1"/>
  <c r="H136" i="1"/>
  <c r="H142" i="1"/>
  <c r="H148" i="1"/>
  <c r="H155" i="1"/>
  <c r="H161" i="1"/>
  <c r="H166" i="1"/>
  <c r="H185" i="1"/>
  <c r="H198" i="1"/>
  <c r="H205" i="1"/>
  <c r="H213" i="1"/>
  <c r="H222" i="1"/>
  <c r="H238" i="1"/>
  <c r="H267" i="1"/>
  <c r="H282" i="1"/>
  <c r="H291" i="1"/>
  <c r="H299" i="1"/>
  <c r="H307" i="1"/>
  <c r="H316" i="1"/>
  <c r="H322" i="1"/>
  <c r="H337" i="1"/>
  <c r="H351" i="1"/>
  <c r="H364" i="1"/>
  <c r="H401" i="1"/>
  <c r="H407" i="1"/>
  <c r="H414" i="1"/>
  <c r="H422" i="1"/>
  <c r="H439" i="1"/>
  <c r="H446" i="1"/>
  <c r="H462" i="1"/>
  <c r="H469" i="1"/>
  <c r="H477" i="1"/>
  <c r="H487" i="1"/>
  <c r="H497" i="1"/>
  <c r="I184" i="1"/>
  <c r="H184" i="1"/>
  <c r="I231" i="1"/>
  <c r="H231" i="1"/>
  <c r="I94" i="1"/>
  <c r="H94" i="1"/>
  <c r="I174" i="1"/>
  <c r="H174" i="1"/>
  <c r="I335" i="1"/>
  <c r="H335" i="1"/>
  <c r="I370" i="1"/>
  <c r="H370" i="1"/>
  <c r="I445" i="1"/>
  <c r="H445" i="1"/>
  <c r="I221" i="1"/>
  <c r="H221" i="1"/>
  <c r="I244" i="1"/>
  <c r="H244" i="1"/>
  <c r="I348" i="1"/>
  <c r="H348" i="1"/>
  <c r="I458" i="1"/>
  <c r="H458" i="1"/>
  <c r="I315" i="1"/>
  <c r="H315" i="1"/>
  <c r="I84" i="1"/>
  <c r="H84" i="1"/>
  <c r="I134" i="1"/>
  <c r="H134" i="1"/>
  <c r="I154" i="1"/>
  <c r="H154" i="1"/>
  <c r="I260" i="1"/>
  <c r="H260" i="1"/>
  <c r="I425" i="1"/>
  <c r="H425" i="1"/>
  <c r="I495" i="1"/>
  <c r="H495" i="1"/>
  <c r="I109" i="1"/>
  <c r="H109" i="1"/>
  <c r="I293" i="1"/>
  <c r="H293" i="1"/>
  <c r="I350" i="1"/>
  <c r="H350" i="1"/>
  <c r="I375" i="1"/>
  <c r="H375" i="1"/>
  <c r="I403" i="1"/>
  <c r="H403" i="1"/>
  <c r="I473" i="1"/>
  <c r="H473" i="1"/>
  <c r="I214" i="1"/>
  <c r="H214" i="1"/>
  <c r="I248" i="1"/>
  <c r="H248" i="1"/>
  <c r="I64" i="1"/>
  <c r="H64" i="1"/>
  <c r="I34" i="1"/>
  <c r="H34" i="1"/>
  <c r="I44" i="1"/>
  <c r="H44" i="1"/>
  <c r="I169" i="1"/>
  <c r="H169" i="1"/>
  <c r="I194" i="1"/>
  <c r="H194" i="1"/>
  <c r="I206" i="1"/>
  <c r="H206" i="1"/>
  <c r="I216" i="1"/>
  <c r="H216" i="1"/>
  <c r="I239" i="1"/>
  <c r="H239" i="1"/>
  <c r="I250" i="1"/>
  <c r="H250" i="1"/>
  <c r="I330" i="1"/>
  <c r="H330" i="1"/>
  <c r="I353" i="1"/>
  <c r="H353" i="1"/>
  <c r="I393" i="1"/>
  <c r="H393" i="1"/>
  <c r="I418" i="1"/>
  <c r="H418" i="1"/>
  <c r="I488" i="1"/>
  <c r="H488" i="1"/>
  <c r="I499" i="1"/>
  <c r="H499" i="1"/>
  <c r="I310" i="1"/>
  <c r="H310" i="1"/>
  <c r="I298" i="1"/>
  <c r="H298" i="1"/>
</calcChain>
</file>

<file path=xl/sharedStrings.xml><?xml version="1.0" encoding="utf-8"?>
<sst xmlns="http://schemas.openxmlformats.org/spreadsheetml/2006/main" count="6218" uniqueCount="2227">
  <si>
    <t>Rk</t>
  </si>
  <si>
    <t>Team</t>
  </si>
  <si>
    <t>2B</t>
  </si>
  <si>
    <t>3B</t>
  </si>
  <si>
    <t>SF</t>
  </si>
  <si>
    <t>Pos</t>
  </si>
  <si>
    <t>HOU</t>
  </si>
  <si>
    <t>Junior Caminero</t>
  </si>
  <si>
    <t>Hunter Goodman</t>
  </si>
  <si>
    <t>ATL</t>
  </si>
  <si>
    <t>Byron Buxton</t>
  </si>
  <si>
    <t>MIN</t>
  </si>
  <si>
    <t>Jordan Walker</t>
  </si>
  <si>
    <t>Kazuma Okamoto</t>
  </si>
  <si>
    <t>Pete Alonso</t>
  </si>
  <si>
    <t>BAL</t>
  </si>
  <si>
    <t>Miguel Vargas</t>
  </si>
  <si>
    <t>Shea Langeliers</t>
  </si>
  <si>
    <t>ATH</t>
  </si>
  <si>
    <t>Christian Walker</t>
  </si>
  <si>
    <t>Willson Contreras</t>
  </si>
  <si>
    <t>Zach Neto</t>
  </si>
  <si>
    <t>LAA</t>
  </si>
  <si>
    <t>Sal Stewart</t>
  </si>
  <si>
    <t>CIN</t>
  </si>
  <si>
    <t>Manny Machado</t>
  </si>
  <si>
    <t>Casey Schmitt</t>
  </si>
  <si>
    <t>Dillon Dingler</t>
  </si>
  <si>
    <t>DET</t>
  </si>
  <si>
    <t>Mike Trout</t>
  </si>
  <si>
    <t>Andy Pages</t>
  </si>
  <si>
    <t>ARI</t>
  </si>
  <si>
    <t>Curtis Mead</t>
  </si>
  <si>
    <t>Aaron Judge</t>
  </si>
  <si>
    <t>Jake Burger</t>
  </si>
  <si>
    <t>Spencer Torkelson</t>
  </si>
  <si>
    <t>Dansby Swanson</t>
  </si>
  <si>
    <t>Willy Adames</t>
  </si>
  <si>
    <t>Seiya Suzuki</t>
  </si>
  <si>
    <t>Paul Goldschmidt</t>
  </si>
  <si>
    <t>Julio Rodríguez</t>
  </si>
  <si>
    <t>Spencer Steer</t>
  </si>
  <si>
    <t>Bobby Witt Jr.</t>
  </si>
  <si>
    <t>Jo Adell</t>
  </si>
  <si>
    <t>Yandy Díaz</t>
  </si>
  <si>
    <t>Jackson Chourio</t>
  </si>
  <si>
    <t>Heriberto Hernández</t>
  </si>
  <si>
    <t>Isaac Paredes</t>
  </si>
  <si>
    <t>Cam Smith</t>
  </si>
  <si>
    <t>Nolan Arenado</t>
  </si>
  <si>
    <t>Coby Mayo</t>
  </si>
  <si>
    <t>Iván Herrera</t>
  </si>
  <si>
    <t>Randy Arozarena</t>
  </si>
  <si>
    <t>Alec Bohm</t>
  </si>
  <si>
    <t>Salvador Perez</t>
  </si>
  <si>
    <t>Jose Altuve</t>
  </si>
  <si>
    <t>Jorge Soler</t>
  </si>
  <si>
    <t>Eugenio Suárez</t>
  </si>
  <si>
    <t>Mookie Betts</t>
  </si>
  <si>
    <t>Mark Vientos</t>
  </si>
  <si>
    <t>Zack Gelof</t>
  </si>
  <si>
    <t>Ty France</t>
  </si>
  <si>
    <t>Trea Turner</t>
  </si>
  <si>
    <t>Bo Bichette</t>
  </si>
  <si>
    <t>Mauricio Dubón</t>
  </si>
  <si>
    <t>Ezequiel Durán</t>
  </si>
  <si>
    <t>José Caballero</t>
  </si>
  <si>
    <t>Royce Lewis</t>
  </si>
  <si>
    <t>Brent Rooker</t>
  </si>
  <si>
    <t>Esmerlyn Valdéz</t>
  </si>
  <si>
    <t>Alex Bregman</t>
  </si>
  <si>
    <t>Otto Lopez</t>
  </si>
  <si>
    <t>Austin Riley</t>
  </si>
  <si>
    <t>William Contreras</t>
  </si>
  <si>
    <t>Josh Jung</t>
  </si>
  <si>
    <t>Xander Bogaerts</t>
  </si>
  <si>
    <t>Kyle Karros</t>
  </si>
  <si>
    <t>Marcus Semien</t>
  </si>
  <si>
    <t>Caleb Durbin</t>
  </si>
  <si>
    <t>George Springer</t>
  </si>
  <si>
    <t>Rhys Hoskins</t>
  </si>
  <si>
    <t>Francisco Alvarez</t>
  </si>
  <si>
    <t>Wyatt Langford</t>
  </si>
  <si>
    <t>Amed Rosario</t>
  </si>
  <si>
    <t>Randal Grichuk</t>
  </si>
  <si>
    <t>Ernie Clement</t>
  </si>
  <si>
    <t>Ceddanne Rafaela</t>
  </si>
  <si>
    <t>Ezequiel Tovar</t>
  </si>
  <si>
    <t>Matt McLain</t>
  </si>
  <si>
    <t>Jacob Young</t>
  </si>
  <si>
    <t>Teoscar Hernández</t>
  </si>
  <si>
    <t>Marcell Ozuna</t>
  </si>
  <si>
    <t>Heliot Ramos</t>
  </si>
  <si>
    <t>Henry Davis</t>
  </si>
  <si>
    <t>Gary Sánchez</t>
  </si>
  <si>
    <t>Chase Meidroth</t>
  </si>
  <si>
    <t>Matt Chapman</t>
  </si>
  <si>
    <t>Oswald Peraza</t>
  </si>
  <si>
    <t>Lane Thomas</t>
  </si>
  <si>
    <t>Adolis García</t>
  </si>
  <si>
    <t>J.T. Realmuto</t>
  </si>
  <si>
    <t>Ronald Acuña Jr.</t>
  </si>
  <si>
    <t>Brice Matthews</t>
  </si>
  <si>
    <t>Jeremiah Jackson</t>
  </si>
  <si>
    <t>Ramón Laureano</t>
  </si>
  <si>
    <t>Kyle Higashioka</t>
  </si>
  <si>
    <t>Brady House</t>
  </si>
  <si>
    <t>Ryan Jeffers</t>
  </si>
  <si>
    <t>Ryan Vilade</t>
  </si>
  <si>
    <t>Derek Hill</t>
  </si>
  <si>
    <t>Justin Foscue</t>
  </si>
  <si>
    <t>Taylor Ward</t>
  </si>
  <si>
    <t>Vladimir Guerrero Jr.</t>
  </si>
  <si>
    <t>Gabriel Moreno</t>
  </si>
  <si>
    <t>Tyler Stephenson</t>
  </si>
  <si>
    <t>Carson Kelly</t>
  </si>
  <si>
    <t>Jeremy Peña</t>
  </si>
  <si>
    <t>Will Smith</t>
  </si>
  <si>
    <t>Dylan Crews</t>
  </si>
  <si>
    <t>Tyler O'Neill</t>
  </si>
  <si>
    <t>Yainer Diaz</t>
  </si>
  <si>
    <t>David Fry</t>
  </si>
  <si>
    <t>Noelvi Marté</t>
  </si>
  <si>
    <t>Tyrone Taylor</t>
  </si>
  <si>
    <t>Fernando Tatis Jr.</t>
  </si>
  <si>
    <t>Matt Vierling</t>
  </si>
  <si>
    <t>Konnor Griffin</t>
  </si>
  <si>
    <t>Miguel Andujar</t>
  </si>
  <si>
    <t>Vaughn Grissom</t>
  </si>
  <si>
    <t>Christian Vázquez</t>
  </si>
  <si>
    <t>Jonny DeLuca</t>
  </si>
  <si>
    <t>Max Muncy</t>
  </si>
  <si>
    <t>Andruw Monasterio</t>
  </si>
  <si>
    <t>Edmundo Sosa</t>
  </si>
  <si>
    <t>Ryan Kreidler</t>
  </si>
  <si>
    <t>Harrison Bader</t>
  </si>
  <si>
    <t>Gabriel Arias</t>
  </si>
  <si>
    <t>Jose Siri</t>
  </si>
  <si>
    <t>Nico Hoerner</t>
  </si>
  <si>
    <t>Nick Gonzales</t>
  </si>
  <si>
    <t>Masyn Winn</t>
  </si>
  <si>
    <t>Luke Keaschall</t>
  </si>
  <si>
    <t>Blaze Alexander</t>
  </si>
  <si>
    <t>Jacob Wilson</t>
  </si>
  <si>
    <t>Connor Norby</t>
  </si>
  <si>
    <t>Logan O'Hoppe</t>
  </si>
  <si>
    <t>Nick Loftin</t>
  </si>
  <si>
    <t>Gleyber Torres</t>
  </si>
  <si>
    <t>José Fermín</t>
  </si>
  <si>
    <t>Pedro Pagés</t>
  </si>
  <si>
    <t>Hao-Yu Lee</t>
  </si>
  <si>
    <t>Matt Shaw</t>
  </si>
  <si>
    <t>Jorge Mateo</t>
  </si>
  <si>
    <t>Tommy Troy</t>
  </si>
  <si>
    <t>Mitch Garver</t>
  </si>
  <si>
    <t>Eli White</t>
  </si>
  <si>
    <t>Nick Castellanos</t>
  </si>
  <si>
    <t>Esteury Ruiz</t>
  </si>
  <si>
    <t>Denzer Guzmán</t>
  </si>
  <si>
    <t>Colby Thomas</t>
  </si>
  <si>
    <t>Joey Bart</t>
  </si>
  <si>
    <t>Elias Díaz</t>
  </si>
  <si>
    <t>Eric Haase</t>
  </si>
  <si>
    <t>Luis Campusano</t>
  </si>
  <si>
    <t>Nelson Velázquez</t>
  </si>
  <si>
    <t>Víctor Bericoto</t>
  </si>
  <si>
    <t>Maikel Garcia</t>
  </si>
  <si>
    <t>Tyler Freeman</t>
  </si>
  <si>
    <t>Javier Sanoja</t>
  </si>
  <si>
    <t>Joey Ortiz</t>
  </si>
  <si>
    <t>Henry Bolte</t>
  </si>
  <si>
    <t>José Fernández</t>
  </si>
  <si>
    <t>Trevor Story</t>
  </si>
  <si>
    <t>Myles Straw</t>
  </si>
  <si>
    <t>Freddy Fermin</t>
  </si>
  <si>
    <t>Miguel Amaya</t>
  </si>
  <si>
    <t>Miguel Rojas</t>
  </si>
  <si>
    <t>Jake Meyers</t>
  </si>
  <si>
    <t>Austin Hedges</t>
  </si>
  <si>
    <t>Danny Jansen</t>
  </si>
  <si>
    <t>Carlos Correa</t>
  </si>
  <si>
    <t>Dane Myers</t>
  </si>
  <si>
    <t>Rob Refsnyder</t>
  </si>
  <si>
    <t>Davis Schneider</t>
  </si>
  <si>
    <t>Jake Rogers</t>
  </si>
  <si>
    <t>Tim Tawa</t>
  </si>
  <si>
    <t>Giancarlo Stanton</t>
  </si>
  <si>
    <t>Rodolfo Durán</t>
  </si>
  <si>
    <t>Joey Wiemer</t>
  </si>
  <si>
    <t>Everson Pereira</t>
  </si>
  <si>
    <t>Austin Martin</t>
  </si>
  <si>
    <t>Nick Fortes</t>
  </si>
  <si>
    <t>Ben Williamson</t>
  </si>
  <si>
    <t>Lourdes Gurriel Jr.</t>
  </si>
  <si>
    <t>Luis Torrens</t>
  </si>
  <si>
    <t>Carlos Narváez</t>
  </si>
  <si>
    <t>Andrew Vaughn</t>
  </si>
  <si>
    <t>Blake Dunn</t>
  </si>
  <si>
    <t>Ke'Bryan Hayes</t>
  </si>
  <si>
    <t>Isiah Kiner-Falefa</t>
  </si>
  <si>
    <t>Agustín Ramírez</t>
  </si>
  <si>
    <t>Leo Jiménez</t>
  </si>
  <si>
    <t>Jahmai Jones</t>
  </si>
  <si>
    <t>Alejandro Kirk</t>
  </si>
  <si>
    <t>Luis Robert Jr.</t>
  </si>
  <si>
    <t>Alika Williams</t>
  </si>
  <si>
    <t>Javier Báez</t>
  </si>
  <si>
    <t>James McCann</t>
  </si>
  <si>
    <t>Jhonny Pereda</t>
  </si>
  <si>
    <t>Max Schuemann</t>
  </si>
  <si>
    <t>Ramón Urías</t>
  </si>
  <si>
    <t>Weston Wilson</t>
  </si>
  <si>
    <t>Tyler Tolbert</t>
  </si>
  <si>
    <t>Jonathan India</t>
  </si>
  <si>
    <t>Jesús Rodríguez</t>
  </si>
  <si>
    <t>Eric Wagaman</t>
  </si>
  <si>
    <t>Junior Pérez</t>
  </si>
  <si>
    <t>Shay Whitcomb</t>
  </si>
  <si>
    <t>Eduardo Valencia</t>
  </si>
  <si>
    <t>Jared Triolo</t>
  </si>
  <si>
    <t>Luisangel Acuña</t>
  </si>
  <si>
    <t>Anthony Volpe</t>
  </si>
  <si>
    <t>Alex Call</t>
  </si>
  <si>
    <t>Darell Hernaiz</t>
  </si>
  <si>
    <t>Connor Wong</t>
  </si>
  <si>
    <t>Starling Marte</t>
  </si>
  <si>
    <t>Brenton Doyle</t>
  </si>
  <si>
    <t>Lenyn Sosa</t>
  </si>
  <si>
    <t>Samad Taylor</t>
  </si>
  <si>
    <t>Nick Allen</t>
  </si>
  <si>
    <t>Jordan Beck</t>
  </si>
  <si>
    <t>Nick Yorke</t>
  </si>
  <si>
    <t>Blaze Jordan</t>
  </si>
  <si>
    <t>Andrew McCutchen</t>
  </si>
  <si>
    <t>Thomas Saggese</t>
  </si>
  <si>
    <t>Jose Trevino</t>
  </si>
  <si>
    <t>Braxton Fulford</t>
  </si>
  <si>
    <t>Andrés Chaparro</t>
  </si>
  <si>
    <t>Zach Dezenzo</t>
  </si>
  <si>
    <t>Santiago Espinal</t>
  </si>
  <si>
    <t>Alex Jackson</t>
  </si>
  <si>
    <t>LuJames Groover</t>
  </si>
  <si>
    <t>Orlando Arcia</t>
  </si>
  <si>
    <t>Connor Joe</t>
  </si>
  <si>
    <t>Austin Hays</t>
  </si>
  <si>
    <t>Jordan Lawlar</t>
  </si>
  <si>
    <t>Patrick Wisdom</t>
  </si>
  <si>
    <t>Romy González</t>
  </si>
  <si>
    <t>Travis d'Arnaud</t>
  </si>
  <si>
    <t>Nate Eaton</t>
  </si>
  <si>
    <t>Félix Reyes</t>
  </si>
  <si>
    <t>Michael Helman</t>
  </si>
  <si>
    <t>Tanner Murray</t>
  </si>
  <si>
    <t>Jonah Cox</t>
  </si>
  <si>
    <t>Luis Urías</t>
  </si>
  <si>
    <t>Charles McAdoo</t>
  </si>
  <si>
    <t>Aramis Garcia</t>
  </si>
  <si>
    <t>Hayden Senger</t>
  </si>
  <si>
    <t>Rafael Flores</t>
  </si>
  <si>
    <t>Luke Maile</t>
  </si>
  <si>
    <t>Will Wilson</t>
  </si>
  <si>
    <t>Kiké Hernández</t>
  </si>
  <si>
    <t>Ryan Waldschmidt</t>
  </si>
  <si>
    <t>Daniel Susac</t>
  </si>
  <si>
    <t>Víctor Robles</t>
  </si>
  <si>
    <t>Brandon Lockridge</t>
  </si>
  <si>
    <t>Cooper Pratt</t>
  </si>
  <si>
    <t>Ha-Seong Kim</t>
  </si>
  <si>
    <t>Austin Slater</t>
  </si>
  <si>
    <t>Christopher Morel</t>
  </si>
  <si>
    <t>Zack Short</t>
  </si>
  <si>
    <t>Denzel Clarke</t>
  </si>
  <si>
    <t>Sebastián Rivero</t>
  </si>
  <si>
    <t>Austin Wynns</t>
  </si>
  <si>
    <t>Nick Madrigal</t>
  </si>
  <si>
    <t>Bryce Teodosio</t>
  </si>
  <si>
    <t>Kyle Schwarber</t>
  </si>
  <si>
    <t>Yordan Alvarez</t>
  </si>
  <si>
    <t>Ben Rice</t>
  </si>
  <si>
    <t>James Wood</t>
  </si>
  <si>
    <t>Matt Olson</t>
  </si>
  <si>
    <t>Colson Montgomery</t>
  </si>
  <si>
    <t>Shohei Ohtani</t>
  </si>
  <si>
    <t>Pete Crow-Armstrong</t>
  </si>
  <si>
    <t>Brandon Lowe</t>
  </si>
  <si>
    <t>Juan Soto</t>
  </si>
  <si>
    <t>Nick Kurtz</t>
  </si>
  <si>
    <t>Bryce Harper</t>
  </si>
  <si>
    <t>CJ Abrams</t>
  </si>
  <si>
    <t>Luis García Jr.</t>
  </si>
  <si>
    <t>Munetaka Murakami</t>
  </si>
  <si>
    <t>Rafael Devers</t>
  </si>
  <si>
    <t>Jake Bauers</t>
  </si>
  <si>
    <t>Gunnar Henderson</t>
  </si>
  <si>
    <t>Michael Harris II</t>
  </si>
  <si>
    <t>Ryan O'Hearn</t>
  </si>
  <si>
    <t>Kody Clemens</t>
  </si>
  <si>
    <t>Samuel Basallo</t>
  </si>
  <si>
    <t>JJ Bleday</t>
  </si>
  <si>
    <t>Freddie Freeman</t>
  </si>
  <si>
    <t>Alec Burleson</t>
  </si>
  <si>
    <t>Brandon Marsh</t>
  </si>
  <si>
    <t>Jac Caglianone</t>
  </si>
  <si>
    <t>Drake Baldwin</t>
  </si>
  <si>
    <t>Joc Pederson</t>
  </si>
  <si>
    <t>Dominic Canzone</t>
  </si>
  <si>
    <t>Mickey Moniak</t>
  </si>
  <si>
    <t>Brice Turang</t>
  </si>
  <si>
    <t>Jonathan Aranda</t>
  </si>
  <si>
    <t>Tyler Soderstrom</t>
  </si>
  <si>
    <t>Gavin Sheets</t>
  </si>
  <si>
    <t>Oneil Cruz</t>
  </si>
  <si>
    <t>Luke Raley</t>
  </si>
  <si>
    <t>JJ Wetherholt</t>
  </si>
  <si>
    <t>Riley Greene</t>
  </si>
  <si>
    <t>Corbin Carroll</t>
  </si>
  <si>
    <t>Jarren Duran</t>
  </si>
  <si>
    <t>Jazz Chisholm Jr.</t>
  </si>
  <si>
    <t>Carter Jensen</t>
  </si>
  <si>
    <t>Liam Hicks</t>
  </si>
  <si>
    <t>Kerry Carpenter</t>
  </si>
  <si>
    <t>TJ Rumfield</t>
  </si>
  <si>
    <t>Kyle Stowers</t>
  </si>
  <si>
    <t>Owen Caissie</t>
  </si>
  <si>
    <t>Michael Busch</t>
  </si>
  <si>
    <t>Cody Bellinger</t>
  </si>
  <si>
    <t>Wilyer Abreu</t>
  </si>
  <si>
    <t>Carson Benge</t>
  </si>
  <si>
    <t>Cole Young</t>
  </si>
  <si>
    <t>Chase DeLauter</t>
  </si>
  <si>
    <t>Cedric Mullins</t>
  </si>
  <si>
    <t>Daylen Lile</t>
  </si>
  <si>
    <t>Jackson Merrill</t>
  </si>
  <si>
    <t>J.P. Crawford</t>
  </si>
  <si>
    <t>Kyle Manzardo</t>
  </si>
  <si>
    <t>Jake McCarthy</t>
  </si>
  <si>
    <t>Trent Grisham</t>
  </si>
  <si>
    <t>Spencer Horwitz</t>
  </si>
  <si>
    <t>Andrew Benintendi</t>
  </si>
  <si>
    <t>Nathaniel Lowe</t>
  </si>
  <si>
    <t>Corey Seager</t>
  </si>
  <si>
    <t>Dalton Rushing</t>
  </si>
  <si>
    <t>Brandon Nimmo</t>
  </si>
  <si>
    <t>Ryan McMahon</t>
  </si>
  <si>
    <t>Kevin McGonigle</t>
  </si>
  <si>
    <t>Josh Naylor</t>
  </si>
  <si>
    <t>Garrett Mitchell</t>
  </si>
  <si>
    <t>Colt Keith</t>
  </si>
  <si>
    <t>Nathan Church</t>
  </si>
  <si>
    <t>Colton Cowser</t>
  </si>
  <si>
    <t>Bryce Eldridge</t>
  </si>
  <si>
    <t>Josh Lowe</t>
  </si>
  <si>
    <t>Michael Conforto</t>
  </si>
  <si>
    <t>Kyle Tucker</t>
  </si>
  <si>
    <t>Bryson Stott</t>
  </si>
  <si>
    <t>Andrés Giménez</t>
  </si>
  <si>
    <t>Daulton Varsho</t>
  </si>
  <si>
    <t>Trevor Larnach</t>
  </si>
  <si>
    <t>Travis Bazzana</t>
  </si>
  <si>
    <t>Evan Carter</t>
  </si>
  <si>
    <t>Michael Massey</t>
  </si>
  <si>
    <t>Jesús Sánchez</t>
  </si>
  <si>
    <t>Nolan Gorman</t>
  </si>
  <si>
    <t>A.J. Ewing</t>
  </si>
  <si>
    <t>Joe Mack</t>
  </si>
  <si>
    <t>Colt Emerson</t>
  </si>
  <si>
    <t>Nolan Schanuel</t>
  </si>
  <si>
    <t>Sam Antonacci</t>
  </si>
  <si>
    <t>Vinnie Pasquantino</t>
  </si>
  <si>
    <t>Christian Yelich</t>
  </si>
  <si>
    <t>Tristan Peters</t>
  </si>
  <si>
    <t>Mike Yastrzemski</t>
  </si>
  <si>
    <t>Daniel Schneemann</t>
  </si>
  <si>
    <t>Dominic Smith</t>
  </si>
  <si>
    <t>Carlos Cortes</t>
  </si>
  <si>
    <t>Austin Wells</t>
  </si>
  <si>
    <t>Moisés Ballesteros</t>
  </si>
  <si>
    <t>Jared Young</t>
  </si>
  <si>
    <t>Jakob Marsee</t>
  </si>
  <si>
    <t>Jung Hoo Lee</t>
  </si>
  <si>
    <t>Lawrence Butler</t>
  </si>
  <si>
    <t>Nathan Lukes</t>
  </si>
  <si>
    <t>José Tena</t>
  </si>
  <si>
    <t>Adrian Del Castillo</t>
  </si>
  <si>
    <t>Yohendrick Piñango</t>
  </si>
  <si>
    <t>Jackson Holliday</t>
  </si>
  <si>
    <t>Víctor Mesa Jr.</t>
  </si>
  <si>
    <t>Griffin Conine</t>
  </si>
  <si>
    <t>Luis Arraez</t>
  </si>
  <si>
    <t>Brett Baty</t>
  </si>
  <si>
    <t>Sal Frelick</t>
  </si>
  <si>
    <t>Zach McKinstry</t>
  </si>
  <si>
    <t>Drew Gilbert</t>
  </si>
  <si>
    <t>Tristan Gray</t>
  </si>
  <si>
    <t>MJ Melendez</t>
  </si>
  <si>
    <t>Matt Wallner</t>
  </si>
  <si>
    <t>Brett Sullivan</t>
  </si>
  <si>
    <t>Bryan Torres</t>
  </si>
  <si>
    <t>Troy Johnston</t>
  </si>
  <si>
    <t>Jeff McNeil</t>
  </si>
  <si>
    <t>Edouard Julien</t>
  </si>
  <si>
    <t>David Hamilton</t>
  </si>
  <si>
    <t>Marcelo Mayer</t>
  </si>
  <si>
    <t>Richie Palacios</t>
  </si>
  <si>
    <t>TJ Friedl</t>
  </si>
  <si>
    <t>Jorbit Vivas</t>
  </si>
  <si>
    <t>Masataka Yoshida</t>
  </si>
  <si>
    <t>Kyle Isbel</t>
  </si>
  <si>
    <t>Jake Cronenworth</t>
  </si>
  <si>
    <t>James Outman</t>
  </si>
  <si>
    <t>Taylor Trammell</t>
  </si>
  <si>
    <t>Lars Nootbaar</t>
  </si>
  <si>
    <t>Will Benson</t>
  </si>
  <si>
    <t>Brendan Donovan</t>
  </si>
  <si>
    <t>Donovan Walton</t>
  </si>
  <si>
    <t>Tyler Callihan</t>
  </si>
  <si>
    <t>Braden Shewmake</t>
  </si>
  <si>
    <t>Ryan Ward</t>
  </si>
  <si>
    <t>Zach Cole</t>
  </si>
  <si>
    <t>Justin Crawford</t>
  </si>
  <si>
    <t>Victor Scott II</t>
  </si>
  <si>
    <t>Dylan Beavers</t>
  </si>
  <si>
    <t>Wade Meckler</t>
  </si>
  <si>
    <t>Hunter Feduccia</t>
  </si>
  <si>
    <t>Alek Thomas</t>
  </si>
  <si>
    <t>Jacob Gonzalez</t>
  </si>
  <si>
    <t>Jake Fraley</t>
  </si>
  <si>
    <t>Bo Naylor</t>
  </si>
  <si>
    <t>Spencer Jones</t>
  </si>
  <si>
    <t>Sterlin Thompson</t>
  </si>
  <si>
    <t>Gabriel Rincones Jr.</t>
  </si>
  <si>
    <t>Jimmy Crooks</t>
  </si>
  <si>
    <t>Kyle Teel</t>
  </si>
  <si>
    <t>Gage Workman</t>
  </si>
  <si>
    <t>LaMonte Wade Jr.</t>
  </si>
  <si>
    <t>Steven Kwan</t>
  </si>
  <si>
    <t>Alejandro Osuna</t>
  </si>
  <si>
    <t>Josh Smith</t>
  </si>
  <si>
    <t>Hyeseong Kim</t>
  </si>
  <si>
    <t>Roman Anthony</t>
  </si>
  <si>
    <t>Nicky Lopez</t>
  </si>
  <si>
    <t>Joey Loperfido</t>
  </si>
  <si>
    <t>Sung-Mun Song</t>
  </si>
  <si>
    <t>Graham Pauley</t>
  </si>
  <si>
    <t>Adam Frazier</t>
  </si>
  <si>
    <t>Pavin Smith</t>
  </si>
  <si>
    <t>Kahlil Watson</t>
  </si>
  <si>
    <t>Jarred Kelenic</t>
  </si>
  <si>
    <t>Max Kepler</t>
  </si>
  <si>
    <t>Josh Rojas</t>
  </si>
  <si>
    <t>Ray Delgado</t>
  </si>
  <si>
    <t>Jim Jarvis</t>
  </si>
  <si>
    <t>Sean Keys</t>
  </si>
  <si>
    <t>CJ Kayfus</t>
  </si>
  <si>
    <t>John Rave</t>
  </si>
  <si>
    <t>Rowdy Tellez</t>
  </si>
  <si>
    <t>Chandler Simpson</t>
  </si>
  <si>
    <t>J.C. Escarra</t>
  </si>
  <si>
    <t>Petey Halpin</t>
  </si>
  <si>
    <t>Dustin Harris</t>
  </si>
  <si>
    <t>Ketel Marte</t>
  </si>
  <si>
    <t>Ian Happ</t>
  </si>
  <si>
    <t>Elly De La Cruz</t>
  </si>
  <si>
    <t>Bryan Reynolds</t>
  </si>
  <si>
    <t>Ozzie Albies</t>
  </si>
  <si>
    <t>Brooks Lee</t>
  </si>
  <si>
    <t>Josh Bell</t>
  </si>
  <si>
    <t>Angel Martínez</t>
  </si>
  <si>
    <t>José Ramírez</t>
  </si>
  <si>
    <t>Cal Raleigh</t>
  </si>
  <si>
    <t>Jonah Heim</t>
  </si>
  <si>
    <t>Brayan Rocchio</t>
  </si>
  <si>
    <t>Adley Rutschman</t>
  </si>
  <si>
    <t>Willi Castro</t>
  </si>
  <si>
    <t>Ildemaro Vargas</t>
  </si>
  <si>
    <t>Victor Caratini</t>
  </si>
  <si>
    <t>Keibert Ruiz</t>
  </si>
  <si>
    <t>Brandon Valenzuela</t>
  </si>
  <si>
    <t>Wenceel Pérez</t>
  </si>
  <si>
    <t>Xavier Edwards</t>
  </si>
  <si>
    <t>Geraldo Perdomo</t>
  </si>
  <si>
    <t>Isaac Collins</t>
  </si>
  <si>
    <t>Francisco Lindor</t>
  </si>
  <si>
    <t>Jasson Domínguez</t>
  </si>
  <si>
    <t>Endy Rodríguez</t>
  </si>
  <si>
    <t>Drew Romo</t>
  </si>
  <si>
    <t>Leody Taveras</t>
  </si>
  <si>
    <t>Cole Carrigg</t>
  </si>
  <si>
    <t>Alex Freeland</t>
  </si>
  <si>
    <t>Patrick Bailey</t>
  </si>
  <si>
    <t>Yoán Moncada</t>
  </si>
  <si>
    <t>Braden Montgomery</t>
  </si>
  <si>
    <t>Jake Mangum</t>
  </si>
  <si>
    <t>Edgar Quero</t>
  </si>
  <si>
    <t>Drew Millas</t>
  </si>
  <si>
    <t>Jorge Barrosa</t>
  </si>
  <si>
    <t>Rafael Marchán</t>
  </si>
  <si>
    <t>Anthony Seigler</t>
  </si>
  <si>
    <t>Jonatan Clase</t>
  </si>
  <si>
    <t>Nasim Nuñez</t>
  </si>
  <si>
    <t>Tyler Heineman</t>
  </si>
  <si>
    <t>Blake Perkins</t>
  </si>
  <si>
    <t>Jorge Polanco</t>
  </si>
  <si>
    <t>Tommy Edman</t>
  </si>
  <si>
    <t>Pedro Ramírez</t>
  </si>
  <si>
    <t>Ronny Mauricio</t>
  </si>
  <si>
    <t>Taylor Walls</t>
  </si>
  <si>
    <t>Luis Rengifo</t>
  </si>
  <si>
    <t>Leo Rivas</t>
  </si>
  <si>
    <t>Mickey Gasper</t>
  </si>
  <si>
    <t>Edwin Arroyo</t>
  </si>
  <si>
    <t>Juan Brito</t>
  </si>
  <si>
    <t>Bryce Johnson</t>
  </si>
  <si>
    <t>Sam Haggerty</t>
  </si>
  <si>
    <t>Name</t>
  </si>
  <si>
    <t>C</t>
  </si>
  <si>
    <t>1B</t>
  </si>
  <si>
    <t>SS</t>
  </si>
  <si>
    <t>LF</t>
  </si>
  <si>
    <t>CF</t>
  </si>
  <si>
    <t>RF</t>
  </si>
  <si>
    <t>DH</t>
  </si>
  <si>
    <t>Luisangel Acuna</t>
  </si>
  <si>
    <t>Ronald Acuna</t>
  </si>
  <si>
    <t>Kevin Alcantara</t>
  </si>
  <si>
    <t>Eliezer Alfonzo</t>
  </si>
  <si>
    <t>Jose Azocar</t>
  </si>
  <si>
    <t>Javier Baez</t>
  </si>
  <si>
    <t>Luken Baker</t>
  </si>
  <si>
    <t>Moises Ballesteros</t>
  </si>
  <si>
    <t>Addison Barger</t>
  </si>
  <si>
    <t>Victor Bericoto</t>
  </si>
  <si>
    <t>Steward Berroa</t>
  </si>
  <si>
    <t>Tyler Black</t>
  </si>
  <si>
    <t>Ryan Bliss</t>
  </si>
  <si>
    <t>Jase Bowen</t>
  </si>
  <si>
    <t>Jack Brannigan</t>
  </si>
  <si>
    <t>Will Brennan</t>
  </si>
  <si>
    <t>Vidal Brujan</t>
  </si>
  <si>
    <t>Jose Caballero</t>
  </si>
  <si>
    <t>Oswaldo Cabrera</t>
  </si>
  <si>
    <t>Jair Camargo</t>
  </si>
  <si>
    <t>Jeimer Candelario</t>
  </si>
  <si>
    <t>Dylan Carlson</t>
  </si>
  <si>
    <t>Cameron Cauley</t>
  </si>
  <si>
    <t>Andres Chaparro</t>
  </si>
  <si>
    <t>Tsung-Che Cheng</t>
  </si>
  <si>
    <t>Jazz Chisholm</t>
  </si>
  <si>
    <t>Billy Cook</t>
  </si>
  <si>
    <t>Trei Cruz</t>
  </si>
  <si>
    <t>Deyvison De Los Santos</t>
  </si>
  <si>
    <t>Justin Dean</t>
  </si>
  <si>
    <t>Raynel Delgado</t>
  </si>
  <si>
    <t>Jonny Deluca</t>
  </si>
  <si>
    <t>Elias Diaz</t>
  </si>
  <si>
    <t>Yandy Diaz</t>
  </si>
  <si>
    <t>Jasson Dominguez</t>
  </si>
  <si>
    <t>Mauricio Dubon</t>
  </si>
  <si>
    <t>Oliver Dunn</t>
  </si>
  <si>
    <t>Ezequiel Duran</t>
  </si>
  <si>
    <t>Rodolfo Duran</t>
  </si>
  <si>
    <t>Jerar Encarnacion</t>
  </si>
  <si>
    <t>Stuart Fairchild</t>
  </si>
  <si>
    <t>Kyle Farmer</t>
  </si>
  <si>
    <t>Kyler Fedko</t>
  </si>
  <si>
    <t>Jose Fermin</t>
  </si>
  <si>
    <t>Jose Fernandez</t>
  </si>
  <si>
    <t>Cody Freeman</t>
  </si>
  <si>
    <t>Adolis Garcia</t>
  </si>
  <si>
    <t>Jhostynxon Garcia</t>
  </si>
  <si>
    <t>Luis Garcia Jr.</t>
  </si>
  <si>
    <t>Andres Gimenez</t>
  </si>
  <si>
    <t>Gabriel Gonzalez</t>
  </si>
  <si>
    <t>Romy Gonzalez</t>
  </si>
  <si>
    <t>Lourdes Gurriel</t>
  </si>
  <si>
    <t>Denzer Guzman</t>
  </si>
  <si>
    <t>Brett Harris</t>
  </si>
  <si>
    <t>Michael Harris</t>
  </si>
  <si>
    <t>Enrique Hernandez</t>
  </si>
  <si>
    <t>Heriberto Hernandez</t>
  </si>
  <si>
    <t>Teoscar Hernandez</t>
  </si>
  <si>
    <t>Ivan Herrera</t>
  </si>
  <si>
    <t>Brewer Hicklen</t>
  </si>
  <si>
    <t>P.J. Higgins</t>
  </si>
  <si>
    <t>Rece Hinds</t>
  </si>
  <si>
    <t>Sam Huff</t>
  </si>
  <si>
    <t>Blake Hunt</t>
  </si>
  <si>
    <t>Andy Ibanez</t>
  </si>
  <si>
    <t>Cooper Ingle</t>
  </si>
  <si>
    <t>Eloy Jimenez</t>
  </si>
  <si>
    <t>Leo Jimenez</t>
  </si>
  <si>
    <t>Daniel Johnson</t>
  </si>
  <si>
    <t>Ivan Johnson</t>
  </si>
  <si>
    <t>Greg Jones</t>
  </si>
  <si>
    <t>Jace Jung</t>
  </si>
  <si>
    <t>C.J. Kayfus</t>
  </si>
  <si>
    <t>Otto Kemp</t>
  </si>
  <si>
    <t>Buddy Kennedy</t>
  </si>
  <si>
    <t>Scott Kingery</t>
  </si>
  <si>
    <t>Christian Koss</t>
  </si>
  <si>
    <t>Joshua Kuroda-Grauer</t>
  </si>
  <si>
    <t>Luis Lara</t>
  </si>
  <si>
    <t>Ramon Laureano</t>
  </si>
  <si>
    <t>Sandy Leon</t>
  </si>
  <si>
    <t>Ben Malgeri</t>
  </si>
  <si>
    <t>Trey Mancini</t>
  </si>
  <si>
    <t>Rafael Marchan</t>
  </si>
  <si>
    <t>Noelvi Marte</t>
  </si>
  <si>
    <t>Angel Martinez</t>
  </si>
  <si>
    <t>Omar Martinez</t>
  </si>
  <si>
    <t>Miles Mastrobuoni</t>
  </si>
  <si>
    <t>Luis Matos</t>
  </si>
  <si>
    <t>Grant McCray</t>
  </si>
  <si>
    <t>Reese McGuire</t>
  </si>
  <si>
    <t>Parker Meadows</t>
  </si>
  <si>
    <t>Joey Meneses</t>
  </si>
  <si>
    <t>Victor Mesa</t>
  </si>
  <si>
    <t>Kameron Misner</t>
  </si>
  <si>
    <t>Yoan Moncada</t>
  </si>
  <si>
    <t>Christian Moore</t>
  </si>
  <si>
    <t>Dylan Moore</t>
  </si>
  <si>
    <t>Nick Morabito</t>
  </si>
  <si>
    <t>Ryan Mountcastle</t>
  </si>
  <si>
    <t>Sean Murphy</t>
  </si>
  <si>
    <t>Carlos Narvaez</t>
  </si>
  <si>
    <t>Brian Navarreto</t>
  </si>
  <si>
    <t>Rikuu Nishida</t>
  </si>
  <si>
    <t>Nasim Nunez</t>
  </si>
  <si>
    <t>Jared Oliva</t>
  </si>
  <si>
    <t>Abimelec Ortiz</t>
  </si>
  <si>
    <t>Pedro Pages</t>
  </si>
  <si>
    <t>Jeremy Pena</t>
  </si>
  <si>
    <t>Junior Perez</t>
  </si>
  <si>
    <t>Wenceel Perez</t>
  </si>
  <si>
    <t>Tommy Pham</t>
  </si>
  <si>
    <t>Yohendrick Pinango</t>
  </si>
  <si>
    <t>Logan Porter</t>
  </si>
  <si>
    <t>Yohel Pozo</t>
  </si>
  <si>
    <t>Collin Price</t>
  </si>
  <si>
    <t>Cesar Prieto</t>
  </si>
  <si>
    <t>Jeferson Quero</t>
  </si>
  <si>
    <t>Agustin Ramirez</t>
  </si>
  <si>
    <t>Jose Ramirez</t>
  </si>
  <si>
    <t>Pedro Ramirez</t>
  </si>
  <si>
    <t>Felix Reyes</t>
  </si>
  <si>
    <t>Gabriel Rincones</t>
  </si>
  <si>
    <t>Ryan Ritter</t>
  </si>
  <si>
    <t>Sebastian Rivero</t>
  </si>
  <si>
    <t>Luis Robert</t>
  </si>
  <si>
    <t>Chuckie Robinson</t>
  </si>
  <si>
    <t>Victor Robles</t>
  </si>
  <si>
    <t>Alan Roden</t>
  </si>
  <si>
    <t>Endy Rodriguez</t>
  </si>
  <si>
    <t>Jesus Rodriguez</t>
  </si>
  <si>
    <t>Johnathan Rodriguez</t>
  </si>
  <si>
    <t>Julio Rodriguez</t>
  </si>
  <si>
    <t>T.J. Rumfield</t>
  </si>
  <si>
    <t>Cesar Salazar</t>
  </si>
  <si>
    <t>Ali Sanchez</t>
  </si>
  <si>
    <t>Gary Sanchez</t>
  </si>
  <si>
    <t>Jesus Sanchez</t>
  </si>
  <si>
    <t>Carlos Santana</t>
  </si>
  <si>
    <t>Victor Scott</t>
  </si>
  <si>
    <t>Brian Serven</t>
  </si>
  <si>
    <t>Mike Siani</t>
  </si>
  <si>
    <t>Nick Sogard</t>
  </si>
  <si>
    <t>Nick Solak</t>
  </si>
  <si>
    <t>Sung Mun Song</t>
  </si>
  <si>
    <t>Michael Stefanic</t>
  </si>
  <si>
    <t>Chad Stevens</t>
  </si>
  <si>
    <t>Baseball Ref Name</t>
  </si>
  <si>
    <t>DraftBuddy Name</t>
  </si>
  <si>
    <t>Max Position</t>
  </si>
  <si>
    <t>Tie?</t>
  </si>
  <si>
    <t>Garrett Stubbs</t>
  </si>
  <si>
    <t>Eugenio Suarez</t>
  </si>
  <si>
    <t>Jose Tena</t>
  </si>
  <si>
    <t>Chadwick Tromp</t>
  </si>
  <si>
    <t>Luis Urias</t>
  </si>
  <si>
    <t>Ramon Urias</t>
  </si>
  <si>
    <t>Esmerlyn Valdez</t>
  </si>
  <si>
    <t>George Valera</t>
  </si>
  <si>
    <t>Christian Vazquez</t>
  </si>
  <si>
    <t>Nelson Velazquez</t>
  </si>
  <si>
    <t>LaMonte Wade</t>
  </si>
  <si>
    <t>Will Wagner</t>
  </si>
  <si>
    <t>Donnie Walton</t>
  </si>
  <si>
    <t>Davis Wendzel</t>
  </si>
  <si>
    <t>Carson Williams</t>
  </si>
  <si>
    <t>Luke Williams</t>
  </si>
  <si>
    <t>Tie</t>
  </si>
  <si>
    <t>CWS</t>
  </si>
  <si>
    <t>last_name, first_name</t>
  </si>
  <si>
    <t>player_id</t>
  </si>
  <si>
    <t>year</t>
  </si>
  <si>
    <t>home_run</t>
  </si>
  <si>
    <t>k_percent</t>
  </si>
  <si>
    <t>bb_percent</t>
  </si>
  <si>
    <t>avg_swing_speed</t>
  </si>
  <si>
    <t>exit_velocity_avg</t>
  </si>
  <si>
    <t>launch_angle_avg</t>
  </si>
  <si>
    <t>sweet_spot_percent</t>
  </si>
  <si>
    <t>barrel_batted_rate</t>
  </si>
  <si>
    <t>avg_best_speed</t>
  </si>
  <si>
    <t>whiff_percent</t>
  </si>
  <si>
    <t>swing_percent</t>
  </si>
  <si>
    <t>Valencia, Eduardo</t>
  </si>
  <si>
    <t>Griffin, Konnor</t>
  </si>
  <si>
    <t>Williams, Carson</t>
  </si>
  <si>
    <t>Contreras, Willson</t>
  </si>
  <si>
    <t>Larnach, Trevor</t>
  </si>
  <si>
    <t>Jackson, Jeremiah</t>
  </si>
  <si>
    <t>Sánchez, Jesús</t>
  </si>
  <si>
    <t>Meidroth, Chase</t>
  </si>
  <si>
    <t>Crawford, J.P.</t>
  </si>
  <si>
    <t>Hinds, Rece</t>
  </si>
  <si>
    <t>Polanco, Jorge</t>
  </si>
  <si>
    <t>Fulford, Braxton</t>
  </si>
  <si>
    <t>Vaughn, Andrew</t>
  </si>
  <si>
    <t>García Jr., Luis</t>
  </si>
  <si>
    <t>Fairchild, Stuart</t>
  </si>
  <si>
    <t>Salazar, César</t>
  </si>
  <si>
    <t>Stevens, Chad</t>
  </si>
  <si>
    <t>Senger, Hayden</t>
  </si>
  <si>
    <t>Bowen, Jase</t>
  </si>
  <si>
    <t>Alvarez, Yordan</t>
  </si>
  <si>
    <t>Paredes, Isaac</t>
  </si>
  <si>
    <t>Wong, Connor</t>
  </si>
  <si>
    <t>Moreno, Gabriel</t>
  </si>
  <si>
    <t>Johnson, Bryce</t>
  </si>
  <si>
    <t>Bailey, Patrick</t>
  </si>
  <si>
    <t>Rogers, Jake</t>
  </si>
  <si>
    <t>Murakami, Munetaka</t>
  </si>
  <si>
    <t>Kim, Ha-Seong</t>
  </si>
  <si>
    <t>Watson, Kahlil</t>
  </si>
  <si>
    <t>Keaschall, Luke</t>
  </si>
  <si>
    <t>Tellez, Rowdy</t>
  </si>
  <si>
    <t>Bellinger, Cody</t>
  </si>
  <si>
    <t>Velázquez, Nelson</t>
  </si>
  <si>
    <t>McCutchen, Andrew</t>
  </si>
  <si>
    <t>Correa, Carlos</t>
  </si>
  <si>
    <t>Robinson, Chuckie</t>
  </si>
  <si>
    <t>Misner, Kameron</t>
  </si>
  <si>
    <t>Donovan, Brendan</t>
  </si>
  <si>
    <t>Delgado, Raynel</t>
  </si>
  <si>
    <t>Young, Jacob</t>
  </si>
  <si>
    <t>Brennan, Will</t>
  </si>
  <si>
    <t>House, Brady</t>
  </si>
  <si>
    <t>Clemens, Kody</t>
  </si>
  <si>
    <t>Pereira, Everson</t>
  </si>
  <si>
    <t>Ward, Ryan</t>
  </si>
  <si>
    <t>Carter, Evan</t>
  </si>
  <si>
    <t>Steer, Spencer</t>
  </si>
  <si>
    <t>Lopez, Nicky</t>
  </si>
  <si>
    <t>Gray, Tristan</t>
  </si>
  <si>
    <t>Lockridge, Brandon</t>
  </si>
  <si>
    <t>McLain, Matt</t>
  </si>
  <si>
    <t>Machado, Manny</t>
  </si>
  <si>
    <t>Tatis Jr., Fernando</t>
  </si>
  <si>
    <t>Smith, Dominic</t>
  </si>
  <si>
    <t>O'Hearn, Ryan</t>
  </si>
  <si>
    <t>Tucker, Kyle</t>
  </si>
  <si>
    <t>Brito, Juan</t>
  </si>
  <si>
    <t>Johnston, Troy</t>
  </si>
  <si>
    <t>Kelenic, Jarred</t>
  </si>
  <si>
    <t>Stephenson, Tyler</t>
  </si>
  <si>
    <t>Realmuto, J.T.</t>
  </si>
  <si>
    <t>Happ, Ian</t>
  </si>
  <si>
    <t>Karros, Kyle</t>
  </si>
  <si>
    <t>Seager, Corey</t>
  </si>
  <si>
    <t>Slater, Austin</t>
  </si>
  <si>
    <t>Lopez, Otto</t>
  </si>
  <si>
    <t>Meckler, Wade</t>
  </si>
  <si>
    <t>Garver, Mitch</t>
  </si>
  <si>
    <t>Freeman, Freddie</t>
  </si>
  <si>
    <t>d'Arnaud, Travis</t>
  </si>
  <si>
    <t>Walls, Taylor</t>
  </si>
  <si>
    <t>Julien, Edouard</t>
  </si>
  <si>
    <t>Doyle, Brenton</t>
  </si>
  <si>
    <t>Lukes, Nathan</t>
  </si>
  <si>
    <t>McKinstry, Zach</t>
  </si>
  <si>
    <t>Vargas, Ildemaro</t>
  </si>
  <si>
    <t>Goodman, Hunter</t>
  </si>
  <si>
    <t>Stott, Bryson</t>
  </si>
  <si>
    <t>Marchán, Rafael</t>
  </si>
  <si>
    <t>Dunn, Blake</t>
  </si>
  <si>
    <t>Davis, Henry</t>
  </si>
  <si>
    <t>Black, Tyler</t>
  </si>
  <si>
    <t>Peña, Jeremy</t>
  </si>
  <si>
    <t>Cowser, Colton</t>
  </si>
  <si>
    <t>Diaz, Yainer</t>
  </si>
  <si>
    <t>Díaz, Yandy</t>
  </si>
  <si>
    <t>Walker, Jordan</t>
  </si>
  <si>
    <t>Emerson, Colt</t>
  </si>
  <si>
    <t>Pederson, Joc</t>
  </si>
  <si>
    <t>Greene, Riley</t>
  </si>
  <si>
    <t>Garcia, Jhostynxon</t>
  </si>
  <si>
    <t>Tolbert, Tyler</t>
  </si>
  <si>
    <t>Altuve, Jose</t>
  </si>
  <si>
    <t>Song, Sung-Mun</t>
  </si>
  <si>
    <t>Kuroda-Grauer, Joshua</t>
  </si>
  <si>
    <t>Freeman, Cody</t>
  </si>
  <si>
    <t>Kayfus, CJ</t>
  </si>
  <si>
    <t>Wallner, Matt</t>
  </si>
  <si>
    <t>Hayes, Ke'Bryan</t>
  </si>
  <si>
    <t>Gonzalez, Romy</t>
  </si>
  <si>
    <t>Stubbs, Garrett</t>
  </si>
  <si>
    <t>Dingler, Dillon</t>
  </si>
  <si>
    <t>Collins, Isaac</t>
  </si>
  <si>
    <t>Benson, Will</t>
  </si>
  <si>
    <t>Díaz, Elias</t>
  </si>
  <si>
    <t>Kelly, Carson</t>
  </si>
  <si>
    <t>Schuemann, Max</t>
  </si>
  <si>
    <t>Murphy, Sean</t>
  </si>
  <si>
    <t>Crooks, Jimmy</t>
  </si>
  <si>
    <t>Halpin, Petey</t>
  </si>
  <si>
    <t>Martínez, Angel</t>
  </si>
  <si>
    <t>McGuire, Reese</t>
  </si>
  <si>
    <t>Merrill, Jackson</t>
  </si>
  <si>
    <t>Arias, Gabriel</t>
  </si>
  <si>
    <t>Marte, Starling</t>
  </si>
  <si>
    <t>Pasquantino, Vinnie</t>
  </si>
  <si>
    <t>Susac, Daniel</t>
  </si>
  <si>
    <t>Thompson, Sterlin</t>
  </si>
  <si>
    <t>Hoerner, Nico</t>
  </si>
  <si>
    <t>Ingle, Cooper</t>
  </si>
  <si>
    <t>Alcántara, Kevin</t>
  </si>
  <si>
    <t>Fermin, Freddy</t>
  </si>
  <si>
    <t>Baty, Brett</t>
  </si>
  <si>
    <t>Narváez, Carlos</t>
  </si>
  <si>
    <t>Bohm, Alec</t>
  </si>
  <si>
    <t>Outman, James</t>
  </si>
  <si>
    <t>DeLuca, Jonny</t>
  </si>
  <si>
    <t>Perez, Junior</t>
  </si>
  <si>
    <t>Grissom, Vaughn</t>
  </si>
  <si>
    <t>Nuñez, Nasim</t>
  </si>
  <si>
    <t>Springer, George</t>
  </si>
  <si>
    <t>Gorman, Nolan</t>
  </si>
  <si>
    <t>Turang, Brice</t>
  </si>
  <si>
    <t>Rodríguez, Johnathan</t>
  </si>
  <si>
    <t>Tawa, Tim</t>
  </si>
  <si>
    <t>Dubón, Mauricio</t>
  </si>
  <si>
    <t>Abrams, CJ</t>
  </si>
  <si>
    <t>Laureano, Ramón</t>
  </si>
  <si>
    <t>Helman, Michael</t>
  </si>
  <si>
    <t>Thomas, Lane</t>
  </si>
  <si>
    <t>Mountcastle, Ryan</t>
  </si>
  <si>
    <t>Shaw, Matt</t>
  </si>
  <si>
    <t>Jansen, Danny</t>
  </si>
  <si>
    <t>Caratini, Victor</t>
  </si>
  <si>
    <t>Edman, Tommy</t>
  </si>
  <si>
    <t>Benintendi, Andrew</t>
  </si>
  <si>
    <t>Farmer, Kyle</t>
  </si>
  <si>
    <t>Short, Zack</t>
  </si>
  <si>
    <t>Manzardo, Kyle</t>
  </si>
  <si>
    <t>Torres, Gleyber</t>
  </si>
  <si>
    <t>Mangum, Jake</t>
  </si>
  <si>
    <t>Henderson, Gunnar</t>
  </si>
  <si>
    <t>Neto, Zach</t>
  </si>
  <si>
    <t>Ozuna, Marcell</t>
  </si>
  <si>
    <t>Wynns, Austin</t>
  </si>
  <si>
    <t>Rooker, Brent</t>
  </si>
  <si>
    <t>Lewis, Royce</t>
  </si>
  <si>
    <t>Pozo, Yohel</t>
  </si>
  <si>
    <t>Lowe, Nathaniel</t>
  </si>
  <si>
    <t>Refsnyder, Rob</t>
  </si>
  <si>
    <t>Bruján, Vidal</t>
  </si>
  <si>
    <t>Rivas, Leo</t>
  </si>
  <si>
    <t>Arozarena, Randy</t>
  </si>
  <si>
    <t>Rice, Ben</t>
  </si>
  <si>
    <t>Madrigal, Nick</t>
  </si>
  <si>
    <t>Acuña Jr., Ronald</t>
  </si>
  <si>
    <t>Vivas, Jorbit</t>
  </si>
  <si>
    <t>Yelich, Christian</t>
  </si>
  <si>
    <t>DeLauter, Chase</t>
  </si>
  <si>
    <t>O'Hoppe, Logan</t>
  </si>
  <si>
    <t>Soderstrom, Tyler</t>
  </si>
  <si>
    <t>Fernandez, Jose</t>
  </si>
  <si>
    <t>Fedko, Kyler</t>
  </si>
  <si>
    <t>Wilson, Weston</t>
  </si>
  <si>
    <t>Soto, Juan</t>
  </si>
  <si>
    <t>Jones, Greg</t>
  </si>
  <si>
    <t>Horwitz, Spencer</t>
  </si>
  <si>
    <t>Arroyo, Edwin</t>
  </si>
  <si>
    <t>Sullivan, Brett</t>
  </si>
  <si>
    <t>Wood, James</t>
  </si>
  <si>
    <t>Schanuel, Nolan</t>
  </si>
  <si>
    <t>Acuña, Luisangel</t>
  </si>
  <si>
    <t>Thomas, Colby</t>
  </si>
  <si>
    <t>Melendez, MJ</t>
  </si>
  <si>
    <t>Amaya, Miguel</t>
  </si>
  <si>
    <t>Peraza, Oswald</t>
  </si>
  <si>
    <t>Ballesteros, Moisés</t>
  </si>
  <si>
    <t>Lindor, Francisco</t>
  </si>
  <si>
    <t>Varsho, Daulton</t>
  </si>
  <si>
    <t>Wagaman, Eric</t>
  </si>
  <si>
    <t>Ruiz, Esteury</t>
  </si>
  <si>
    <t>Rincones Jr., Gabriel</t>
  </si>
  <si>
    <t>Lawlar, Jordan</t>
  </si>
  <si>
    <t>Tovar, Ezequiel</t>
  </si>
  <si>
    <t>Cox, Jonah</t>
  </si>
  <si>
    <t>Scott II, Victor</t>
  </si>
  <si>
    <t>Morabito, Nick</t>
  </si>
  <si>
    <t>Fortes, Nick</t>
  </si>
  <si>
    <t>Dezenzo, Zach</t>
  </si>
  <si>
    <t>Marte, Ketel</t>
  </si>
  <si>
    <t>Muncy, Max</t>
  </si>
  <si>
    <t>Naylor, Bo</t>
  </si>
  <si>
    <t>Judge, Aaron</t>
  </si>
  <si>
    <t>Huff, Sam</t>
  </si>
  <si>
    <t>Caglianone, Jac</t>
  </si>
  <si>
    <t>Anthony, Roman</t>
  </si>
  <si>
    <t>Kwan, Steven</t>
  </si>
  <si>
    <t>Beck, Jordan</t>
  </si>
  <si>
    <t>Goldschmidt, Paul</t>
  </si>
  <si>
    <t>Adell, Jo</t>
  </si>
  <si>
    <t>Ramos, Heliot</t>
  </si>
  <si>
    <t>Williams, Alika</t>
  </si>
  <si>
    <t>Caissie, Owen</t>
  </si>
  <si>
    <t>Schwarber, Kyle</t>
  </si>
  <si>
    <t>Domínguez, Jasson</t>
  </si>
  <si>
    <t>Prieto, César</t>
  </si>
  <si>
    <t>Wiemer, Joey</t>
  </si>
  <si>
    <t>Semien, Marcus</t>
  </si>
  <si>
    <t>Marsee, Jakob</t>
  </si>
  <si>
    <t>Yastrzemski, Mike</t>
  </si>
  <si>
    <t>Grichuk, Randal</t>
  </si>
  <si>
    <t>Heineman, Tyler</t>
  </si>
  <si>
    <t>Hill, Derek</t>
  </si>
  <si>
    <t>Suárez, Eugenio</t>
  </si>
  <si>
    <t>Mateo, Jorge</t>
  </si>
  <si>
    <t>Bliss, Ryan</t>
  </si>
  <si>
    <t>Báez, Javier</t>
  </si>
  <si>
    <t>Okamoto, Kazuma</t>
  </si>
  <si>
    <t>Allen, Nick</t>
  </si>
  <si>
    <t>Andujar, Miguel</t>
  </si>
  <si>
    <t>Feduccia, Hunter</t>
  </si>
  <si>
    <t>Malgeri, Ben</t>
  </si>
  <si>
    <t>Del Castillo, Adrian</t>
  </si>
  <si>
    <t>Palacios, Richie</t>
  </si>
  <si>
    <t>Isbel, Kyle</t>
  </si>
  <si>
    <t>Jackson, Alex</t>
  </si>
  <si>
    <t>Pratt, Cooper</t>
  </si>
  <si>
    <t>Kepler, Max</t>
  </si>
  <si>
    <t>Jeffers, Ryan</t>
  </si>
  <si>
    <t>Langeliers, Shea</t>
  </si>
  <si>
    <t>Waldschmidt, Ryan</t>
  </si>
  <si>
    <t>Fraley, Jake</t>
  </si>
  <si>
    <t>Marsh, Brandon</t>
  </si>
  <si>
    <t>Schmitt, Casey</t>
  </si>
  <si>
    <t>Hedges, Austin</t>
  </si>
  <si>
    <t>Freeman, Tyler</t>
  </si>
  <si>
    <t>Arcia, Orlando</t>
  </si>
  <si>
    <t>Smith, Cam</t>
  </si>
  <si>
    <t>Walker, Christian</t>
  </si>
  <si>
    <t>Kiner-Falefa, Isiah</t>
  </si>
  <si>
    <t>Azócar, José</t>
  </si>
  <si>
    <t>Giménez, Andrés</t>
  </si>
  <si>
    <t>Moore, Dylan</t>
  </si>
  <si>
    <t>Ibáñez, Andy</t>
  </si>
  <si>
    <t>Crow-Armstrong, Pete</t>
  </si>
  <si>
    <t>Torres, Bryan</t>
  </si>
  <si>
    <t>Garcia, Maikel</t>
  </si>
  <si>
    <t>Pham, Tommy</t>
  </si>
  <si>
    <t>Jordan, Blaze</t>
  </si>
  <si>
    <t>Baldwin, Drake</t>
  </si>
  <si>
    <t>Canzone, Dominic</t>
  </si>
  <si>
    <t>Raley, Luke</t>
  </si>
  <si>
    <t>Stewart, Sal</t>
  </si>
  <si>
    <t>Sosa, Edmundo</t>
  </si>
  <si>
    <t>Bazzana, Travis</t>
  </si>
  <si>
    <t>Pereda, Jhonny</t>
  </si>
  <si>
    <t>Lee, Hao-Yu</t>
  </si>
  <si>
    <t>Sheets, Gavin</t>
  </si>
  <si>
    <t>Bogaerts, Xander</t>
  </si>
  <si>
    <t>Groover, LuJames</t>
  </si>
  <si>
    <t>Reyes, Felix</t>
  </si>
  <si>
    <t>Fry, David</t>
  </si>
  <si>
    <t>Sogard, Nick</t>
  </si>
  <si>
    <t>Alexander, Blaze</t>
  </si>
  <si>
    <t>Urías, Ramón</t>
  </si>
  <si>
    <t>Stowers, Kyle</t>
  </si>
  <si>
    <t>Lowe, Brandon</t>
  </si>
  <si>
    <t>Espinal, Santiago</t>
  </si>
  <si>
    <t>Albies, Ozzie</t>
  </si>
  <si>
    <t>Higgins, P.J.</t>
  </si>
  <si>
    <t>Valenzuela, Brandon</t>
  </si>
  <si>
    <t>Wetherholt, JJ</t>
  </si>
  <si>
    <t>Peters, Tristan</t>
  </si>
  <si>
    <t>Gilbert, Drew</t>
  </si>
  <si>
    <t>Foscue, Justin</t>
  </si>
  <si>
    <t>Bart, Joey</t>
  </si>
  <si>
    <t>Jarvis, Jim</t>
  </si>
  <si>
    <t>Vargas, Miguel</t>
  </si>
  <si>
    <t>Call, Alex</t>
  </si>
  <si>
    <t>Buxton, Byron</t>
  </si>
  <si>
    <t>Valera, George</t>
  </si>
  <si>
    <t>Gonzales, Nick</t>
  </si>
  <si>
    <t>Jiménez, Eloy</t>
  </si>
  <si>
    <t>Basallo, Samuel</t>
  </si>
  <si>
    <t>Rosario, Amed</t>
  </si>
  <si>
    <t>Butler, Lawrence</t>
  </si>
  <si>
    <t>Pages, Andy</t>
  </si>
  <si>
    <t>Castro, Willi</t>
  </si>
  <si>
    <t>Trout, Mike</t>
  </si>
  <si>
    <t>Riley, Austin</t>
  </si>
  <si>
    <t>Saggese, Thomas</t>
  </si>
  <si>
    <t>Millas, Drew</t>
  </si>
  <si>
    <t>Workman, Gage</t>
  </si>
  <si>
    <t>Langford, Wyatt</t>
  </si>
  <si>
    <t>Turner, Trea</t>
  </si>
  <si>
    <t>Myers, Dane</t>
  </si>
  <si>
    <t>Garcia, Aramis</t>
  </si>
  <si>
    <t>Keith, Colt</t>
  </si>
  <si>
    <t>Straw, Myles</t>
  </si>
  <si>
    <t>Barger, Addison</t>
  </si>
  <si>
    <t>Matthews, Brice</t>
  </si>
  <si>
    <t>Rumfield, TJ</t>
  </si>
  <si>
    <t>Wade Jr., LaMonte</t>
  </si>
  <si>
    <t>Matos, Luis</t>
  </si>
  <si>
    <t>Suzuki, Seiya</t>
  </si>
  <si>
    <t>McAdoo, Charles</t>
  </si>
  <si>
    <t>Rojas, Josh</t>
  </si>
  <si>
    <t>Friedl, TJ</t>
  </si>
  <si>
    <t>Campusano, Luis</t>
  </si>
  <si>
    <t>Haggerty, Sam</t>
  </si>
  <si>
    <t>Candelario, Jeimer</t>
  </si>
  <si>
    <t>Teodosio, Bryce</t>
  </si>
  <si>
    <t>Adames, Willy</t>
  </si>
  <si>
    <t>Perkins, Blake</t>
  </si>
  <si>
    <t>Harris, Dustin</t>
  </si>
  <si>
    <t>Taveras, Leody</t>
  </si>
  <si>
    <t>Mitchell, Garrett</t>
  </si>
  <si>
    <t>Castellanos, Nick</t>
  </si>
  <si>
    <t>Wells, Austin</t>
  </si>
  <si>
    <t>Loftin, Nick</t>
  </si>
  <si>
    <t>Rutschman, Adley</t>
  </si>
  <si>
    <t>Perez, Salvador</t>
  </si>
  <si>
    <t>Teel, Kyle</t>
  </si>
  <si>
    <t>Tromp, Chadwick</t>
  </si>
  <si>
    <t>Hernández, Teoscar</t>
  </si>
  <si>
    <t>McMahon, Ryan</t>
  </si>
  <si>
    <t>Chisholm Jr., Jazz</t>
  </si>
  <si>
    <t>Swanson, Dansby</t>
  </si>
  <si>
    <t>Bichette, Bo</t>
  </si>
  <si>
    <t>Jiménez, Leo</t>
  </si>
  <si>
    <t>Olson, Matt</t>
  </si>
  <si>
    <t>Meyers, Jake</t>
  </si>
  <si>
    <t>Duran, Jarren</t>
  </si>
  <si>
    <t>Frazier, Adam</t>
  </si>
  <si>
    <t>Edwards, Xavier</t>
  </si>
  <si>
    <t>Murray, Tanner</t>
  </si>
  <si>
    <t>Cheng, Tsung-Che</t>
  </si>
  <si>
    <t>Siri, Jose</t>
  </si>
  <si>
    <t>Beavers, Dylan</t>
  </si>
  <si>
    <t>Norby, Connor</t>
  </si>
  <si>
    <t>Rodriguez, Jesus</t>
  </si>
  <si>
    <t>Conforto, Michael</t>
  </si>
  <si>
    <t>Vázquez, Christian</t>
  </si>
  <si>
    <t>Cavanaugh, Drew</t>
  </si>
  <si>
    <t>Ewing, A.J.</t>
  </si>
  <si>
    <t>Guerrero Jr., Vladimir</t>
  </si>
  <si>
    <t>Gurriel Jr., Lourdes</t>
  </si>
  <si>
    <t>Eldridge, Bryce</t>
  </si>
  <si>
    <t>Reynolds, Bryan</t>
  </si>
  <si>
    <t>Mastrobuoni, Miles</t>
  </si>
  <si>
    <t>Higashioka, Kyle</t>
  </si>
  <si>
    <t>Monasterio, Andruw</t>
  </si>
  <si>
    <t>Piñango, Yohendrick</t>
  </si>
  <si>
    <t>Soler, Jorge</t>
  </si>
  <si>
    <t>Lowe, Josh</t>
  </si>
  <si>
    <t>Stanton, Giancarlo</t>
  </si>
  <si>
    <t>Gonzalez, Jacob</t>
  </si>
  <si>
    <t>Nootbaar, Lars</t>
  </si>
  <si>
    <t>Caballero, José</t>
  </si>
  <si>
    <t>Caminero, Junior</t>
  </si>
  <si>
    <t>Quero, Edgar</t>
  </si>
  <si>
    <t>Rave, John</t>
  </si>
  <si>
    <t>Church, Nathan</t>
  </si>
  <si>
    <t>Cauley, Cam</t>
  </si>
  <si>
    <t>Sánchez, Ali</t>
  </si>
  <si>
    <t>Vientos, Mark</t>
  </si>
  <si>
    <t>Simpson, Chandler</t>
  </si>
  <si>
    <t>Callihan, Tyler</t>
  </si>
  <si>
    <t>Haase, Eric</t>
  </si>
  <si>
    <t>Durán, Rodolfo</t>
  </si>
  <si>
    <t>Cronenworth, Jake</t>
  </si>
  <si>
    <t>Devers, Rafael</t>
  </si>
  <si>
    <t>Cabrera, Oswaldo</t>
  </si>
  <si>
    <t>Ohtani, Shohei</t>
  </si>
  <si>
    <t>Burleson, Alec</t>
  </si>
  <si>
    <t>Barrosa, Jorge</t>
  </si>
  <si>
    <t>Arraez, Luis</t>
  </si>
  <si>
    <t>Moore, Christian</t>
  </si>
  <si>
    <t>Kirk, Alejandro</t>
  </si>
  <si>
    <t>León, Sandy</t>
  </si>
  <si>
    <t>Grisham, Trent</t>
  </si>
  <si>
    <t>McGonigle, Kevin</t>
  </si>
  <si>
    <t>Crawford, Justin</t>
  </si>
  <si>
    <t>Conine, Griffin</t>
  </si>
  <si>
    <t>Nimmo, Brandon</t>
  </si>
  <si>
    <t>Bader, Harrison</t>
  </si>
  <si>
    <t>Harris II, Michael</t>
  </si>
  <si>
    <t>Eaton, Nate</t>
  </si>
  <si>
    <t>Yorke, Nick</t>
  </si>
  <si>
    <t>Morel, Christopher</t>
  </si>
  <si>
    <t>Mullins, Cedric</t>
  </si>
  <si>
    <t>Rojas, Miguel</t>
  </si>
  <si>
    <t>Chourio, Jackson</t>
  </si>
  <si>
    <t>Ruiz, Keibert</t>
  </si>
  <si>
    <t>Trevino, Jose</t>
  </si>
  <si>
    <t>Johnson, Daniel</t>
  </si>
  <si>
    <t>Robles, Victor</t>
  </si>
  <si>
    <t>Mauricio, Ronny</t>
  </si>
  <si>
    <t>Price, Collin</t>
  </si>
  <si>
    <t>Lee, Brooks</t>
  </si>
  <si>
    <t>Mancini, Trey</t>
  </si>
  <si>
    <t>Trammell, Taylor</t>
  </si>
  <si>
    <t>Bericoto, Victor</t>
  </si>
  <si>
    <t>Betts, Mookie</t>
  </si>
  <si>
    <t>Rengifo, Luis</t>
  </si>
  <si>
    <t>France, Ty</t>
  </si>
  <si>
    <t>Frelick, Sal</t>
  </si>
  <si>
    <t>Ramírez, Agustín</t>
  </si>
  <si>
    <t>Cortes, Carlos</t>
  </si>
  <si>
    <t>Carroll, Corbin</t>
  </si>
  <si>
    <t>Naylor, Josh</t>
  </si>
  <si>
    <t>Carrigg, Cole</t>
  </si>
  <si>
    <t>Mead, Curtis</t>
  </si>
  <si>
    <t>Aranda, Jonathan</t>
  </si>
  <si>
    <t>Cole, Zach</t>
  </si>
  <si>
    <t>Rivero, Sebastián</t>
  </si>
  <si>
    <t>Triolo, Jared</t>
  </si>
  <si>
    <t>Flores Jr., Rafael</t>
  </si>
  <si>
    <t>Bleday, JJ</t>
  </si>
  <si>
    <t>Cook, Billy</t>
  </si>
  <si>
    <t>Rocchio, Brayan</t>
  </si>
  <si>
    <t>Torrens, Luis</t>
  </si>
  <si>
    <t>Hicks, Liam</t>
  </si>
  <si>
    <t>Smith, Pavin</t>
  </si>
  <si>
    <t>Thomas, Alek</t>
  </si>
  <si>
    <t>McCann, James</t>
  </si>
  <si>
    <t>Lara, Luis</t>
  </si>
  <si>
    <t>Wagner, Will</t>
  </si>
  <si>
    <t>Roden, Alan</t>
  </si>
  <si>
    <t>Mesa Jr., Victor</t>
  </si>
  <si>
    <t>Jensen, Carter</t>
  </si>
  <si>
    <t>Fermín, José</t>
  </si>
  <si>
    <t>Navarreto, Brian</t>
  </si>
  <si>
    <t>Guzman, Denzer</t>
  </si>
  <si>
    <t>Ortiz, Joey</t>
  </si>
  <si>
    <t>Bregman, Alex</t>
  </si>
  <si>
    <t>Gelof, Zack</t>
  </si>
  <si>
    <t>Valdez, Esmerlyn</t>
  </si>
  <si>
    <t>Young, Cole</t>
  </si>
  <si>
    <t>Ramírez, Pedro</t>
  </si>
  <si>
    <t>Walton, Donovan</t>
  </si>
  <si>
    <t>Bell, Josh</t>
  </si>
  <si>
    <t>Alvarez, Francisco</t>
  </si>
  <si>
    <t>Herrera, Iván</t>
  </si>
  <si>
    <t>Benge, Carson</t>
  </si>
  <si>
    <t>Story, Trevor</t>
  </si>
  <si>
    <t>Torkelson, Spencer</t>
  </si>
  <si>
    <t>Taylor, Samad</t>
  </si>
  <si>
    <t>Rodríguez, Julio</t>
  </si>
  <si>
    <t>Jones, Spencer</t>
  </si>
  <si>
    <t>Jung, Josh</t>
  </si>
  <si>
    <t>Loperfido, Joey</t>
  </si>
  <si>
    <t>De La Cruz, Elly</t>
  </si>
  <si>
    <t>Taylor, Tyrone</t>
  </si>
  <si>
    <t>Witt Jr., Bobby</t>
  </si>
  <si>
    <t>Hamilton, David</t>
  </si>
  <si>
    <t>Williamson, Ben</t>
  </si>
  <si>
    <t>Rushing, Dalton</t>
  </si>
  <si>
    <t>Duran, Ezequiel</t>
  </si>
  <si>
    <t>Escarra, J.C.</t>
  </si>
  <si>
    <t>Shewmake, Braden</t>
  </si>
  <si>
    <t>Busch, Michael</t>
  </si>
  <si>
    <t>Bolte, Henry</t>
  </si>
  <si>
    <t>Pauley, Graham</t>
  </si>
  <si>
    <t>Hays, Austin</t>
  </si>
  <si>
    <t>Clase, Jonatan</t>
  </si>
  <si>
    <t>Massey, Michael</t>
  </si>
  <si>
    <t>Joe, Connor</t>
  </si>
  <si>
    <t>O'Neill, Tyler</t>
  </si>
  <si>
    <t>Sanoja, Javier</t>
  </si>
  <si>
    <t>India, Jonathan</t>
  </si>
  <si>
    <t>Ward, Taylor</t>
  </si>
  <si>
    <t>Chapman, Matt</t>
  </si>
  <si>
    <t>Kemp, Otto</t>
  </si>
  <si>
    <t>Urías, Luis</t>
  </si>
  <si>
    <t>Freeland, Alex</t>
  </si>
  <si>
    <t>Smith, Josh</t>
  </si>
  <si>
    <t>Nishida, Rikuu</t>
  </si>
  <si>
    <t>García, Adolis</t>
  </si>
  <si>
    <t>Sánchez, Gary</t>
  </si>
  <si>
    <t>Keys, Sean</t>
  </si>
  <si>
    <t>Vierling, Matt</t>
  </si>
  <si>
    <t>Lee, Jung Hoo</t>
  </si>
  <si>
    <t>Jones, Jahmai</t>
  </si>
  <si>
    <t>Harper, Bryce</t>
  </si>
  <si>
    <t>Arenado, Nolan</t>
  </si>
  <si>
    <t>Winn, Masyn</t>
  </si>
  <si>
    <t>Rafaela, Ceddanne</t>
  </si>
  <si>
    <t>Ramírez, José</t>
  </si>
  <si>
    <t>Hernaiz, Darell</t>
  </si>
  <si>
    <t>Heim, Jonah</t>
  </si>
  <si>
    <t>Abreu, Wilyer</t>
  </si>
  <si>
    <t>Sosa, Lenyn</t>
  </si>
  <si>
    <t>Troy, Tommy</t>
  </si>
  <si>
    <t>Mayo, Coby</t>
  </si>
  <si>
    <t>Martin, Austin</t>
  </si>
  <si>
    <t>Contreras, William</t>
  </si>
  <si>
    <t>McCarthy, Jake</t>
  </si>
  <si>
    <t>Pagés, Pedro</t>
  </si>
  <si>
    <t>Kim, Hyeseong</t>
  </si>
  <si>
    <t>Santana, Carlos</t>
  </si>
  <si>
    <t>Wilson, Jacob</t>
  </si>
  <si>
    <t>Mayer, Marcelo</t>
  </si>
  <si>
    <t>Holliday, Jackson</t>
  </si>
  <si>
    <t>Rodríguez, Endy</t>
  </si>
  <si>
    <t>Koss, Christian</t>
  </si>
  <si>
    <t>Dunn, Oliver</t>
  </si>
  <si>
    <t>Clarke, Denzel</t>
  </si>
  <si>
    <t>Crews, Dylan</t>
  </si>
  <si>
    <t>Tena, José</t>
  </si>
  <si>
    <t>Pérez, Wenceel</t>
  </si>
  <si>
    <t>Vilade, Ryan</t>
  </si>
  <si>
    <t>Volpe, Anthony</t>
  </si>
  <si>
    <t>Kurtz, Nick</t>
  </si>
  <si>
    <t>Gasper, Mickey</t>
  </si>
  <si>
    <t>Schneider, Davis</t>
  </si>
  <si>
    <t>Antonacci, Sam</t>
  </si>
  <si>
    <t>Marte, Noelvi</t>
  </si>
  <si>
    <t>Lile, Daylen</t>
  </si>
  <si>
    <t>Smith, Will</t>
  </si>
  <si>
    <t>Alonso, Pete</t>
  </si>
  <si>
    <t>Schneemann, Daniel</t>
  </si>
  <si>
    <t>Moncada, Yoán</t>
  </si>
  <si>
    <t>Carpenter, Kerry</t>
  </si>
  <si>
    <t>Young, Jared</t>
  </si>
  <si>
    <t>Encarnacion, Jerar</t>
  </si>
  <si>
    <t>Kennedy, Buddy</t>
  </si>
  <si>
    <t>Osuna, Alejandro</t>
  </si>
  <si>
    <t>Durbin, Caleb</t>
  </si>
  <si>
    <t>Bauers, Jake</t>
  </si>
  <si>
    <t>Cruz, Oneil</t>
  </si>
  <si>
    <t>Hoskins, Rhys</t>
  </si>
  <si>
    <t>Seigler, Anthony</t>
  </si>
  <si>
    <t>Yoshida, Masataka</t>
  </si>
  <si>
    <t>Clement, Ernie</t>
  </si>
  <si>
    <t>Chaparro, Andrés</t>
  </si>
  <si>
    <t>Meneses, Joey</t>
  </si>
  <si>
    <t>White, Eli</t>
  </si>
  <si>
    <t>Montgomery, Colson</t>
  </si>
  <si>
    <t>Meadows, Parker</t>
  </si>
  <si>
    <t>Mack, Joe</t>
  </si>
  <si>
    <t>Hernández, Heriberto</t>
  </si>
  <si>
    <t>McNeil, Jeff</t>
  </si>
  <si>
    <t>Montgomery, Braden</t>
  </si>
  <si>
    <t>Perdomo, Geraldo</t>
  </si>
  <si>
    <t>Wisdom, Patrick</t>
  </si>
  <si>
    <t>Moniak, Mickey</t>
  </si>
  <si>
    <t>Burger, Jake</t>
  </si>
  <si>
    <t>Romo, Drew</t>
  </si>
  <si>
    <t>Robert Jr., Luis</t>
  </si>
  <si>
    <t>Whitcomb, Shay</t>
  </si>
  <si>
    <t>Raleigh, Cal</t>
  </si>
  <si>
    <t>Solak, Nick</t>
  </si>
  <si>
    <t>Kreidler, Ryan</t>
  </si>
  <si>
    <t>last_name</t>
  </si>
  <si>
    <t xml:space="preserve"> first_name</t>
  </si>
  <si>
    <t>Valencia</t>
  </si>
  <si>
    <t>Griffin</t>
  </si>
  <si>
    <t>Williams</t>
  </si>
  <si>
    <t>Contreras</t>
  </si>
  <si>
    <t>Larnach</t>
  </si>
  <si>
    <t>Jackson</t>
  </si>
  <si>
    <t>Sánchez</t>
  </si>
  <si>
    <t>Meidroth</t>
  </si>
  <si>
    <t>Crawford</t>
  </si>
  <si>
    <t>Hinds</t>
  </si>
  <si>
    <t>Polanco</t>
  </si>
  <si>
    <t>Fulford</t>
  </si>
  <si>
    <t>Vaughn</t>
  </si>
  <si>
    <t>García Jr.</t>
  </si>
  <si>
    <t>Fairchild</t>
  </si>
  <si>
    <t>Salazar</t>
  </si>
  <si>
    <t>Stevens</t>
  </si>
  <si>
    <t>Senger</t>
  </si>
  <si>
    <t>Bowen</t>
  </si>
  <si>
    <t>Alvarez</t>
  </si>
  <si>
    <t>Paredes</t>
  </si>
  <si>
    <t>Wong</t>
  </si>
  <si>
    <t>Moreno</t>
  </si>
  <si>
    <t>Johnson</t>
  </si>
  <si>
    <t>Bailey</t>
  </si>
  <si>
    <t>Rogers</t>
  </si>
  <si>
    <t>Murakami</t>
  </si>
  <si>
    <t>Kim</t>
  </si>
  <si>
    <t>Watson</t>
  </si>
  <si>
    <t>Keaschall</t>
  </si>
  <si>
    <t>Tellez</t>
  </si>
  <si>
    <t>Bellinger</t>
  </si>
  <si>
    <t>Velázquez</t>
  </si>
  <si>
    <t>McCutchen</t>
  </si>
  <si>
    <t>Correa</t>
  </si>
  <si>
    <t>Robinson</t>
  </si>
  <si>
    <t>Misner</t>
  </si>
  <si>
    <t>Donovan</t>
  </si>
  <si>
    <t>Delgado</t>
  </si>
  <si>
    <t>Young</t>
  </si>
  <si>
    <t>Brennan</t>
  </si>
  <si>
    <t>House</t>
  </si>
  <si>
    <t>Clemens</t>
  </si>
  <si>
    <t>Pereira</t>
  </si>
  <si>
    <t>Ward</t>
  </si>
  <si>
    <t>Carter</t>
  </si>
  <si>
    <t>Steer</t>
  </si>
  <si>
    <t>Lopez</t>
  </si>
  <si>
    <t>Gray</t>
  </si>
  <si>
    <t>Lockridge</t>
  </si>
  <si>
    <t>McLain</t>
  </si>
  <si>
    <t>Machado</t>
  </si>
  <si>
    <t>Tatis Jr.</t>
  </si>
  <si>
    <t>Smith</t>
  </si>
  <si>
    <t>O'Hearn</t>
  </si>
  <si>
    <t>Tucker</t>
  </si>
  <si>
    <t>Brito</t>
  </si>
  <si>
    <t>Johnston</t>
  </si>
  <si>
    <t>Kelenic</t>
  </si>
  <si>
    <t>Stephenson</t>
  </si>
  <si>
    <t>Realmuto</t>
  </si>
  <si>
    <t>Happ</t>
  </si>
  <si>
    <t>Karros</t>
  </si>
  <si>
    <t>Seager</t>
  </si>
  <si>
    <t>Slater</t>
  </si>
  <si>
    <t>Meckler</t>
  </si>
  <si>
    <t>Garver</t>
  </si>
  <si>
    <t>Freeman</t>
  </si>
  <si>
    <t>d'Arnaud</t>
  </si>
  <si>
    <t>Walls</t>
  </si>
  <si>
    <t>Julien</t>
  </si>
  <si>
    <t>Doyle</t>
  </si>
  <si>
    <t>Lukes</t>
  </si>
  <si>
    <t>McKinstry</t>
  </si>
  <si>
    <t>Vargas</t>
  </si>
  <si>
    <t>Goodman</t>
  </si>
  <si>
    <t>Stott</t>
  </si>
  <si>
    <t>Marchán</t>
  </si>
  <si>
    <t>Dunn</t>
  </si>
  <si>
    <t>Davis</t>
  </si>
  <si>
    <t>Black</t>
  </si>
  <si>
    <t>Peña</t>
  </si>
  <si>
    <t>Cowser</t>
  </si>
  <si>
    <t>Diaz</t>
  </si>
  <si>
    <t>Díaz</t>
  </si>
  <si>
    <t>Walker</t>
  </si>
  <si>
    <t>Emerson</t>
  </si>
  <si>
    <t>Pederson</t>
  </si>
  <si>
    <t>Greene</t>
  </si>
  <si>
    <t>Garcia</t>
  </si>
  <si>
    <t>Tolbert</t>
  </si>
  <si>
    <t>Altuve</t>
  </si>
  <si>
    <t>Song</t>
  </si>
  <si>
    <t>Kuroda-Grauer</t>
  </si>
  <si>
    <t>Kayfus</t>
  </si>
  <si>
    <t>Wallner</t>
  </si>
  <si>
    <t>Hayes</t>
  </si>
  <si>
    <t>Gonzalez</t>
  </si>
  <si>
    <t>Stubbs</t>
  </si>
  <si>
    <t>Dingler</t>
  </si>
  <si>
    <t>Collins</t>
  </si>
  <si>
    <t>Benson</t>
  </si>
  <si>
    <t>Kelly</t>
  </si>
  <si>
    <t>Schuemann</t>
  </si>
  <si>
    <t>Murphy</t>
  </si>
  <si>
    <t>Crooks</t>
  </si>
  <si>
    <t>Halpin</t>
  </si>
  <si>
    <t>Martínez</t>
  </si>
  <si>
    <t>McGuire</t>
  </si>
  <si>
    <t>Merrill</t>
  </si>
  <si>
    <t>Arias</t>
  </si>
  <si>
    <t>Marte</t>
  </si>
  <si>
    <t>Pasquantino</t>
  </si>
  <si>
    <t>Susac</t>
  </si>
  <si>
    <t>Thompson</t>
  </si>
  <si>
    <t>Hoerner</t>
  </si>
  <si>
    <t>Ingle</t>
  </si>
  <si>
    <t>Alcántara</t>
  </si>
  <si>
    <t>Fermin</t>
  </si>
  <si>
    <t>Baty</t>
  </si>
  <si>
    <t>Narváez</t>
  </si>
  <si>
    <t>Bohm</t>
  </si>
  <si>
    <t>Outman</t>
  </si>
  <si>
    <t>DeLuca</t>
  </si>
  <si>
    <t>Perez</t>
  </si>
  <si>
    <t>Grissom</t>
  </si>
  <si>
    <t>Nuñez</t>
  </si>
  <si>
    <t>Springer</t>
  </si>
  <si>
    <t>Gorman</t>
  </si>
  <si>
    <t>Turang</t>
  </si>
  <si>
    <t>Rodríguez</t>
  </si>
  <si>
    <t>Tawa</t>
  </si>
  <si>
    <t>Dubón</t>
  </si>
  <si>
    <t>Abrams</t>
  </si>
  <si>
    <t>Laureano</t>
  </si>
  <si>
    <t>Helman</t>
  </si>
  <si>
    <t>Thomas</t>
  </si>
  <si>
    <t>Mountcastle</t>
  </si>
  <si>
    <t>Shaw</t>
  </si>
  <si>
    <t>Jansen</t>
  </si>
  <si>
    <t>Caratini</t>
  </si>
  <si>
    <t>Edman</t>
  </si>
  <si>
    <t>Benintendi</t>
  </si>
  <si>
    <t>Farmer</t>
  </si>
  <si>
    <t>Short</t>
  </si>
  <si>
    <t>Manzardo</t>
  </si>
  <si>
    <t>Torres</t>
  </si>
  <si>
    <t>Mangum</t>
  </si>
  <si>
    <t>Henderson</t>
  </si>
  <si>
    <t>Neto</t>
  </si>
  <si>
    <t>Ozuna</t>
  </si>
  <si>
    <t>Wynns</t>
  </si>
  <si>
    <t>Rooker</t>
  </si>
  <si>
    <t>Lewis</t>
  </si>
  <si>
    <t>Pozo</t>
  </si>
  <si>
    <t>Lowe</t>
  </si>
  <si>
    <t>Refsnyder</t>
  </si>
  <si>
    <t>Bruján</t>
  </si>
  <si>
    <t>Rivas</t>
  </si>
  <si>
    <t>Arozarena</t>
  </si>
  <si>
    <t>Rice</t>
  </si>
  <si>
    <t>Madrigal</t>
  </si>
  <si>
    <t>Acuña Jr.</t>
  </si>
  <si>
    <t>Vivas</t>
  </si>
  <si>
    <t>Yelich</t>
  </si>
  <si>
    <t>DeLauter</t>
  </si>
  <si>
    <t>O'Hoppe</t>
  </si>
  <si>
    <t>Soderstrom</t>
  </si>
  <si>
    <t>Fernandez</t>
  </si>
  <si>
    <t>Fedko</t>
  </si>
  <si>
    <t>Wilson</t>
  </si>
  <si>
    <t>Soto</t>
  </si>
  <si>
    <t>Jones</t>
  </si>
  <si>
    <t>Horwitz</t>
  </si>
  <si>
    <t>Arroyo</t>
  </si>
  <si>
    <t>Sullivan</t>
  </si>
  <si>
    <t>Wood</t>
  </si>
  <si>
    <t>Schanuel</t>
  </si>
  <si>
    <t>Acuña</t>
  </si>
  <si>
    <t>Melendez</t>
  </si>
  <si>
    <t>Amaya</t>
  </si>
  <si>
    <t>Peraza</t>
  </si>
  <si>
    <t>Ballesteros</t>
  </si>
  <si>
    <t>Lindor</t>
  </si>
  <si>
    <t>Varsho</t>
  </si>
  <si>
    <t>Wagaman</t>
  </si>
  <si>
    <t>Ruiz</t>
  </si>
  <si>
    <t>Rincones Jr.</t>
  </si>
  <si>
    <t>Lawlar</t>
  </si>
  <si>
    <t>Tovar</t>
  </si>
  <si>
    <t>Cox</t>
  </si>
  <si>
    <t>Scott II</t>
  </si>
  <si>
    <t>Morabito</t>
  </si>
  <si>
    <t>Fortes</t>
  </si>
  <si>
    <t>Dezenzo</t>
  </si>
  <si>
    <t>Muncy</t>
  </si>
  <si>
    <t>Naylor</t>
  </si>
  <si>
    <t>Judge</t>
  </si>
  <si>
    <t>Huff</t>
  </si>
  <si>
    <t>Caglianone</t>
  </si>
  <si>
    <t>Anthony</t>
  </si>
  <si>
    <t>Kwan</t>
  </si>
  <si>
    <t>Beck</t>
  </si>
  <si>
    <t>Goldschmidt</t>
  </si>
  <si>
    <t>Adell</t>
  </si>
  <si>
    <t>Ramos</t>
  </si>
  <si>
    <t>Caissie</t>
  </si>
  <si>
    <t>Schwarber</t>
  </si>
  <si>
    <t>Domínguez</t>
  </si>
  <si>
    <t>Prieto</t>
  </si>
  <si>
    <t>Wiemer</t>
  </si>
  <si>
    <t>Semien</t>
  </si>
  <si>
    <t>Marsee</t>
  </si>
  <si>
    <t>Yastrzemski</t>
  </si>
  <si>
    <t>Grichuk</t>
  </si>
  <si>
    <t>Heineman</t>
  </si>
  <si>
    <t>Hill</t>
  </si>
  <si>
    <t>Suárez</t>
  </si>
  <si>
    <t>Mateo</t>
  </si>
  <si>
    <t>Bliss</t>
  </si>
  <si>
    <t>Báez</t>
  </si>
  <si>
    <t>Okamoto</t>
  </si>
  <si>
    <t>Allen</t>
  </si>
  <si>
    <t>Andujar</t>
  </si>
  <si>
    <t>Feduccia</t>
  </si>
  <si>
    <t>Malgeri</t>
  </si>
  <si>
    <t>Del Castillo</t>
  </si>
  <si>
    <t>Palacios</t>
  </si>
  <si>
    <t>Isbel</t>
  </si>
  <si>
    <t>Pratt</t>
  </si>
  <si>
    <t>Kepler</t>
  </si>
  <si>
    <t>Jeffers</t>
  </si>
  <si>
    <t>Langeliers</t>
  </si>
  <si>
    <t>Waldschmidt</t>
  </si>
  <si>
    <t>Fraley</t>
  </si>
  <si>
    <t>Marsh</t>
  </si>
  <si>
    <t>Schmitt</t>
  </si>
  <si>
    <t>Hedges</t>
  </si>
  <si>
    <t>Arcia</t>
  </si>
  <si>
    <t>Kiner-Falefa</t>
  </si>
  <si>
    <t>Azócar</t>
  </si>
  <si>
    <t>Giménez</t>
  </si>
  <si>
    <t>Moore</t>
  </si>
  <si>
    <t>Ibáñez</t>
  </si>
  <si>
    <t>Crow-Armstrong</t>
  </si>
  <si>
    <t>Pham</t>
  </si>
  <si>
    <t>Jordan</t>
  </si>
  <si>
    <t>Baldwin</t>
  </si>
  <si>
    <t>Canzone</t>
  </si>
  <si>
    <t>Raley</t>
  </si>
  <si>
    <t>Stewart</t>
  </si>
  <si>
    <t>Sosa</t>
  </si>
  <si>
    <t>Bazzana</t>
  </si>
  <si>
    <t>Pereda</t>
  </si>
  <si>
    <t>Lee</t>
  </si>
  <si>
    <t>Sheets</t>
  </si>
  <si>
    <t>Bogaerts</t>
  </si>
  <si>
    <t>Groover</t>
  </si>
  <si>
    <t>Reyes</t>
  </si>
  <si>
    <t>Fry</t>
  </si>
  <si>
    <t>Sogard</t>
  </si>
  <si>
    <t>Alexander</t>
  </si>
  <si>
    <t>Urías</t>
  </si>
  <si>
    <t>Stowers</t>
  </si>
  <si>
    <t>Espinal</t>
  </si>
  <si>
    <t>Albies</t>
  </si>
  <si>
    <t>Higgins</t>
  </si>
  <si>
    <t>Valenzuela</t>
  </si>
  <si>
    <t>Wetherholt</t>
  </si>
  <si>
    <t>Peters</t>
  </si>
  <si>
    <t>Gilbert</t>
  </si>
  <si>
    <t>Foscue</t>
  </si>
  <si>
    <t>Bart</t>
  </si>
  <si>
    <t>Jarvis</t>
  </si>
  <si>
    <t>Call</t>
  </si>
  <si>
    <t>Buxton</t>
  </si>
  <si>
    <t>Valera</t>
  </si>
  <si>
    <t>Gonzales</t>
  </si>
  <si>
    <t>Jiménez</t>
  </si>
  <si>
    <t>Basallo</t>
  </si>
  <si>
    <t>Rosario</t>
  </si>
  <si>
    <t>Butler</t>
  </si>
  <si>
    <t>Pages</t>
  </si>
  <si>
    <t>Castro</t>
  </si>
  <si>
    <t>Trout</t>
  </si>
  <si>
    <t>Riley</t>
  </si>
  <si>
    <t>Saggese</t>
  </si>
  <si>
    <t>Millas</t>
  </si>
  <si>
    <t>Workman</t>
  </si>
  <si>
    <t>Langford</t>
  </si>
  <si>
    <t>Turner</t>
  </si>
  <si>
    <t>Myers</t>
  </si>
  <si>
    <t>Keith</t>
  </si>
  <si>
    <t>Straw</t>
  </si>
  <si>
    <t>Barger</t>
  </si>
  <si>
    <t>Matthews</t>
  </si>
  <si>
    <t>Rumfield</t>
  </si>
  <si>
    <t>Wade Jr.</t>
  </si>
  <si>
    <t>Matos</t>
  </si>
  <si>
    <t>Suzuki</t>
  </si>
  <si>
    <t>McAdoo</t>
  </si>
  <si>
    <t>Rojas</t>
  </si>
  <si>
    <t>Friedl</t>
  </si>
  <si>
    <t>Campusano</t>
  </si>
  <si>
    <t>Haggerty</t>
  </si>
  <si>
    <t>Candelario</t>
  </si>
  <si>
    <t>Teodosio</t>
  </si>
  <si>
    <t>Adames</t>
  </si>
  <si>
    <t>Perkins</t>
  </si>
  <si>
    <t>Harris</t>
  </si>
  <si>
    <t>Taveras</t>
  </si>
  <si>
    <t>Mitchell</t>
  </si>
  <si>
    <t>Castellanos</t>
  </si>
  <si>
    <t>Wells</t>
  </si>
  <si>
    <t>Loftin</t>
  </si>
  <si>
    <t>Rutschman</t>
  </si>
  <si>
    <t>Teel</t>
  </si>
  <si>
    <t>Tromp</t>
  </si>
  <si>
    <t>Hernández</t>
  </si>
  <si>
    <t>McMahon</t>
  </si>
  <si>
    <t>Chisholm Jr.</t>
  </si>
  <si>
    <t>Swanson</t>
  </si>
  <si>
    <t>Bichette</t>
  </si>
  <si>
    <t>Olson</t>
  </si>
  <si>
    <t>Meyers</t>
  </si>
  <si>
    <t>Duran</t>
  </si>
  <si>
    <t>Frazier</t>
  </si>
  <si>
    <t>Edwards</t>
  </si>
  <si>
    <t>Murray</t>
  </si>
  <si>
    <t>Cheng</t>
  </si>
  <si>
    <t>Siri</t>
  </si>
  <si>
    <t>Beavers</t>
  </si>
  <si>
    <t>Norby</t>
  </si>
  <si>
    <t>Rodriguez</t>
  </si>
  <si>
    <t>Conforto</t>
  </si>
  <si>
    <t>Vázquez</t>
  </si>
  <si>
    <t>Cavanaugh</t>
  </si>
  <si>
    <t>Ewing</t>
  </si>
  <si>
    <t>Guerrero Jr.</t>
  </si>
  <si>
    <t>Gurriel Jr.</t>
  </si>
  <si>
    <t>Eldridge</t>
  </si>
  <si>
    <t>Reynolds</t>
  </si>
  <si>
    <t>Mastrobuoni</t>
  </si>
  <si>
    <t>Higashioka</t>
  </si>
  <si>
    <t>Monasterio</t>
  </si>
  <si>
    <t>Piñango</t>
  </si>
  <si>
    <t>Soler</t>
  </si>
  <si>
    <t>Stanton</t>
  </si>
  <si>
    <t>Nootbaar</t>
  </si>
  <si>
    <t>Caballero</t>
  </si>
  <si>
    <t>Caminero</t>
  </si>
  <si>
    <t>Quero</t>
  </si>
  <si>
    <t>Rave</t>
  </si>
  <si>
    <t>Church</t>
  </si>
  <si>
    <t>Cauley</t>
  </si>
  <si>
    <t>Vientos</t>
  </si>
  <si>
    <t>Simpson</t>
  </si>
  <si>
    <t>Callihan</t>
  </si>
  <si>
    <t>Haase</t>
  </si>
  <si>
    <t>Durán</t>
  </si>
  <si>
    <t>Cronenworth</t>
  </si>
  <si>
    <t>Devers</t>
  </si>
  <si>
    <t>Cabrera</t>
  </si>
  <si>
    <t>Ohtani</t>
  </si>
  <si>
    <t>Burleson</t>
  </si>
  <si>
    <t>Barrosa</t>
  </si>
  <si>
    <t>Arraez</t>
  </si>
  <si>
    <t>Kirk</t>
  </si>
  <si>
    <t>León</t>
  </si>
  <si>
    <t>Grisham</t>
  </si>
  <si>
    <t>McGonigle</t>
  </si>
  <si>
    <t>Conine</t>
  </si>
  <si>
    <t>Nimmo</t>
  </si>
  <si>
    <t>Bader</t>
  </si>
  <si>
    <t>Harris II</t>
  </si>
  <si>
    <t>Eaton</t>
  </si>
  <si>
    <t>Yorke</t>
  </si>
  <si>
    <t>Morel</t>
  </si>
  <si>
    <t>Mullins</t>
  </si>
  <si>
    <t>Chourio</t>
  </si>
  <si>
    <t>Trevino</t>
  </si>
  <si>
    <t>Robles</t>
  </si>
  <si>
    <t>Mauricio</t>
  </si>
  <si>
    <t>Price</t>
  </si>
  <si>
    <t>Mancini</t>
  </si>
  <si>
    <t>Trammell</t>
  </si>
  <si>
    <t>Bericoto</t>
  </si>
  <si>
    <t>Betts</t>
  </si>
  <si>
    <t>Rengifo</t>
  </si>
  <si>
    <t>France</t>
  </si>
  <si>
    <t>Frelick</t>
  </si>
  <si>
    <t>Ramírez</t>
  </si>
  <si>
    <t>Cortes</t>
  </si>
  <si>
    <t>Carroll</t>
  </si>
  <si>
    <t>Carrigg</t>
  </si>
  <si>
    <t>Mead</t>
  </si>
  <si>
    <t>Aranda</t>
  </si>
  <si>
    <t>Cole</t>
  </si>
  <si>
    <t>Rivero</t>
  </si>
  <si>
    <t>Triolo</t>
  </si>
  <si>
    <t>Flores Jr.</t>
  </si>
  <si>
    <t>Bleday</t>
  </si>
  <si>
    <t>Cook</t>
  </si>
  <si>
    <t>Rocchio</t>
  </si>
  <si>
    <t>Torrens</t>
  </si>
  <si>
    <t>Hicks</t>
  </si>
  <si>
    <t>McCann</t>
  </si>
  <si>
    <t>Lara</t>
  </si>
  <si>
    <t>Wagner</t>
  </si>
  <si>
    <t>Roden</t>
  </si>
  <si>
    <t>Mesa Jr.</t>
  </si>
  <si>
    <t>Jensen</t>
  </si>
  <si>
    <t>Fermín</t>
  </si>
  <si>
    <t>Navarreto</t>
  </si>
  <si>
    <t>Guzman</t>
  </si>
  <si>
    <t>Ortiz</t>
  </si>
  <si>
    <t>Bregman</t>
  </si>
  <si>
    <t>Gelof</t>
  </si>
  <si>
    <t>Valdez</t>
  </si>
  <si>
    <t>Walton</t>
  </si>
  <si>
    <t>Bell</t>
  </si>
  <si>
    <t>Herrera</t>
  </si>
  <si>
    <t>Benge</t>
  </si>
  <si>
    <t>Story</t>
  </si>
  <si>
    <t>Torkelson</t>
  </si>
  <si>
    <t>Taylor</t>
  </si>
  <si>
    <t>Jung</t>
  </si>
  <si>
    <t>Loperfido</t>
  </si>
  <si>
    <t>De La Cruz</t>
  </si>
  <si>
    <t>Witt Jr.</t>
  </si>
  <si>
    <t>Hamilton</t>
  </si>
  <si>
    <t>Williamson</t>
  </si>
  <si>
    <t>Rushing</t>
  </si>
  <si>
    <t>Escarra</t>
  </si>
  <si>
    <t>Shewmake</t>
  </si>
  <si>
    <t>Busch</t>
  </si>
  <si>
    <t>Bolte</t>
  </si>
  <si>
    <t>Pauley</t>
  </si>
  <si>
    <t>Hays</t>
  </si>
  <si>
    <t>Clase</t>
  </si>
  <si>
    <t>Massey</t>
  </si>
  <si>
    <t>Joe</t>
  </si>
  <si>
    <t>O'Neill</t>
  </si>
  <si>
    <t>Sanoja</t>
  </si>
  <si>
    <t>India</t>
  </si>
  <si>
    <t>Chapman</t>
  </si>
  <si>
    <t>Kemp</t>
  </si>
  <si>
    <t>Freeland</t>
  </si>
  <si>
    <t>Nishida</t>
  </si>
  <si>
    <t>García</t>
  </si>
  <si>
    <t>Keys</t>
  </si>
  <si>
    <t>Vierling</t>
  </si>
  <si>
    <t>Harper</t>
  </si>
  <si>
    <t>Arenado</t>
  </si>
  <si>
    <t>Winn</t>
  </si>
  <si>
    <t>Rafaela</t>
  </si>
  <si>
    <t>Hernaiz</t>
  </si>
  <si>
    <t>Heim</t>
  </si>
  <si>
    <t>Abreu</t>
  </si>
  <si>
    <t>Troy</t>
  </si>
  <si>
    <t>Mayo</t>
  </si>
  <si>
    <t>Martin</t>
  </si>
  <si>
    <t>McCarthy</t>
  </si>
  <si>
    <t>Pagés</t>
  </si>
  <si>
    <t>Santana</t>
  </si>
  <si>
    <t>Mayer</t>
  </si>
  <si>
    <t>Holliday</t>
  </si>
  <si>
    <t>Koss</t>
  </si>
  <si>
    <t>Clarke</t>
  </si>
  <si>
    <t>Crews</t>
  </si>
  <si>
    <t>Tena</t>
  </si>
  <si>
    <t>Pérez</t>
  </si>
  <si>
    <t>Vilade</t>
  </si>
  <si>
    <t>Volpe</t>
  </si>
  <si>
    <t>Kurtz</t>
  </si>
  <si>
    <t>Gasper</t>
  </si>
  <si>
    <t>Schneider</t>
  </si>
  <si>
    <t>Antonacci</t>
  </si>
  <si>
    <t>Lile</t>
  </si>
  <si>
    <t>Alonso</t>
  </si>
  <si>
    <t>Schneemann</t>
  </si>
  <si>
    <t>Moncada</t>
  </si>
  <si>
    <t>Carpenter</t>
  </si>
  <si>
    <t>Encarnacion</t>
  </si>
  <si>
    <t>Kennedy</t>
  </si>
  <si>
    <t>Osuna</t>
  </si>
  <si>
    <t>Durbin</t>
  </si>
  <si>
    <t>Bauers</t>
  </si>
  <si>
    <t>Cruz</t>
  </si>
  <si>
    <t>Hoskins</t>
  </si>
  <si>
    <t>Seigler</t>
  </si>
  <si>
    <t>Yoshida</t>
  </si>
  <si>
    <t>Clement</t>
  </si>
  <si>
    <t>Chaparro</t>
  </si>
  <si>
    <t>Meneses</t>
  </si>
  <si>
    <t>White</t>
  </si>
  <si>
    <t>Montgomery</t>
  </si>
  <si>
    <t>Meadows</t>
  </si>
  <si>
    <t>Mack</t>
  </si>
  <si>
    <t>McNeil</t>
  </si>
  <si>
    <t>Perdomo</t>
  </si>
  <si>
    <t>Wisdom</t>
  </si>
  <si>
    <t>Moniak</t>
  </si>
  <si>
    <t>Burger</t>
  </si>
  <si>
    <t>Romo</t>
  </si>
  <si>
    <t>Robert Jr.</t>
  </si>
  <si>
    <t>Whitcomb</t>
  </si>
  <si>
    <t>Raleigh</t>
  </si>
  <si>
    <t>Solak</t>
  </si>
  <si>
    <t>Kreidler</t>
  </si>
  <si>
    <t>full name</t>
  </si>
  <si>
    <t>Eduardo</t>
  </si>
  <si>
    <t>Konnor</t>
  </si>
  <si>
    <t>Carson</t>
  </si>
  <si>
    <t>Willson</t>
  </si>
  <si>
    <t>Trevor</t>
  </si>
  <si>
    <t>Jeremiah</t>
  </si>
  <si>
    <t>Jesús</t>
  </si>
  <si>
    <t>Chase</t>
  </si>
  <si>
    <t>J.P.</t>
  </si>
  <si>
    <t>Rece</t>
  </si>
  <si>
    <t>Jorge</t>
  </si>
  <si>
    <t>Braxton</t>
  </si>
  <si>
    <t>Andrew</t>
  </si>
  <si>
    <t>Luis</t>
  </si>
  <si>
    <t>Stuart</t>
  </si>
  <si>
    <t>César</t>
  </si>
  <si>
    <t>Chad</t>
  </si>
  <si>
    <t>Hayden</t>
  </si>
  <si>
    <t>Jase</t>
  </si>
  <si>
    <t>Yordan</t>
  </si>
  <si>
    <t>Isaac</t>
  </si>
  <si>
    <t>Connor</t>
  </si>
  <si>
    <t>Gabriel</t>
  </si>
  <si>
    <t>Bryce</t>
  </si>
  <si>
    <t>Patrick</t>
  </si>
  <si>
    <t>Jake</t>
  </si>
  <si>
    <t>Munetaka</t>
  </si>
  <si>
    <t>Ha-Seong</t>
  </si>
  <si>
    <t>Kahlil</t>
  </si>
  <si>
    <t>Luke</t>
  </si>
  <si>
    <t>Rowdy</t>
  </si>
  <si>
    <t>Cody</t>
  </si>
  <si>
    <t>Nelson</t>
  </si>
  <si>
    <t>Carlos</t>
  </si>
  <si>
    <t>Chuckie</t>
  </si>
  <si>
    <t>Kameron</t>
  </si>
  <si>
    <t>Brendan</t>
  </si>
  <si>
    <t>Raynel</t>
  </si>
  <si>
    <t>Jacob</t>
  </si>
  <si>
    <t>Will</t>
  </si>
  <si>
    <t>Brady</t>
  </si>
  <si>
    <t>Kody</t>
  </si>
  <si>
    <t>Everson</t>
  </si>
  <si>
    <t>Ryan</t>
  </si>
  <si>
    <t>Evan</t>
  </si>
  <si>
    <t>Spencer</t>
  </si>
  <si>
    <t>Nicky</t>
  </si>
  <si>
    <t>Tristan</t>
  </si>
  <si>
    <t>Brandon</t>
  </si>
  <si>
    <t>Matt</t>
  </si>
  <si>
    <t>Manny</t>
  </si>
  <si>
    <t>Fernando</t>
  </si>
  <si>
    <t>Dominic</t>
  </si>
  <si>
    <t>Kyle</t>
  </si>
  <si>
    <t>Juan</t>
  </si>
  <si>
    <t>Jarred</t>
  </si>
  <si>
    <t>Tyler</t>
  </si>
  <si>
    <t>J.T.</t>
  </si>
  <si>
    <t>Ian</t>
  </si>
  <si>
    <t>Corey</t>
  </si>
  <si>
    <t>Austin</t>
  </si>
  <si>
    <t>Otto</t>
  </si>
  <si>
    <t>Wade</t>
  </si>
  <si>
    <t>Mitch</t>
  </si>
  <si>
    <t>Freddie</t>
  </si>
  <si>
    <t>Travis</t>
  </si>
  <si>
    <t>Edouard</t>
  </si>
  <si>
    <t>Brenton</t>
  </si>
  <si>
    <t>Nathan</t>
  </si>
  <si>
    <t>Zach</t>
  </si>
  <si>
    <t>Ildemaro</t>
  </si>
  <si>
    <t>Hunter</t>
  </si>
  <si>
    <t>Bryson</t>
  </si>
  <si>
    <t>Rafael</t>
  </si>
  <si>
    <t>Blake</t>
  </si>
  <si>
    <t>Henry</t>
  </si>
  <si>
    <t>Jeremy</t>
  </si>
  <si>
    <t>Colton</t>
  </si>
  <si>
    <t>Yainer</t>
  </si>
  <si>
    <t>Yandy</t>
  </si>
  <si>
    <t>Colt</t>
  </si>
  <si>
    <t>Joc</t>
  </si>
  <si>
    <t>Jhostynxon</t>
  </si>
  <si>
    <t>Jose</t>
  </si>
  <si>
    <t>Sung-Mun</t>
  </si>
  <si>
    <t>Joshua</t>
  </si>
  <si>
    <t>CJ</t>
  </si>
  <si>
    <t>Ke'Bryan</t>
  </si>
  <si>
    <t>Romy</t>
  </si>
  <si>
    <t>Garrett</t>
  </si>
  <si>
    <t>Dillon</t>
  </si>
  <si>
    <t>Elias</t>
  </si>
  <si>
    <t>Max</t>
  </si>
  <si>
    <t>Sean</t>
  </si>
  <si>
    <t>Jimmy</t>
  </si>
  <si>
    <t>Petey</t>
  </si>
  <si>
    <t>Angel</t>
  </si>
  <si>
    <t>Reese</t>
  </si>
  <si>
    <t>Starling</t>
  </si>
  <si>
    <t>Vinnie</t>
  </si>
  <si>
    <t>Daniel</t>
  </si>
  <si>
    <t>Sterlin</t>
  </si>
  <si>
    <t>Nico</t>
  </si>
  <si>
    <t>Cooper</t>
  </si>
  <si>
    <t>Kevin</t>
  </si>
  <si>
    <t>Freddy</t>
  </si>
  <si>
    <t>Brett</t>
  </si>
  <si>
    <t>Alec</t>
  </si>
  <si>
    <t>James</t>
  </si>
  <si>
    <t>Jonny</t>
  </si>
  <si>
    <t>Junior</t>
  </si>
  <si>
    <t>Nasim</t>
  </si>
  <si>
    <t>George</t>
  </si>
  <si>
    <t>Nolan</t>
  </si>
  <si>
    <t>Brice</t>
  </si>
  <si>
    <t>Johnathan</t>
  </si>
  <si>
    <t>Tim</t>
  </si>
  <si>
    <t>Ramón</t>
  </si>
  <si>
    <t>Michael</t>
  </si>
  <si>
    <t>Lane</t>
  </si>
  <si>
    <t>Danny</t>
  </si>
  <si>
    <t>Victor</t>
  </si>
  <si>
    <t>Tommy</t>
  </si>
  <si>
    <t>Zack</t>
  </si>
  <si>
    <t>Gleyber</t>
  </si>
  <si>
    <t>Gunnar</t>
  </si>
  <si>
    <t>Marcell</t>
  </si>
  <si>
    <t>Brent</t>
  </si>
  <si>
    <t>Royce</t>
  </si>
  <si>
    <t>Yohel</t>
  </si>
  <si>
    <t>Nathaniel</t>
  </si>
  <si>
    <t>Rob</t>
  </si>
  <si>
    <t>Vidal</t>
  </si>
  <si>
    <t>Leo</t>
  </si>
  <si>
    <t>Randy</t>
  </si>
  <si>
    <t>Ben</t>
  </si>
  <si>
    <t>Nick</t>
  </si>
  <si>
    <t>Ronald</t>
  </si>
  <si>
    <t>Jorbit</t>
  </si>
  <si>
    <t>Christian</t>
  </si>
  <si>
    <t>Logan</t>
  </si>
  <si>
    <t>Kyler</t>
  </si>
  <si>
    <t>Weston</t>
  </si>
  <si>
    <t>Greg</t>
  </si>
  <si>
    <t>Edwin</t>
  </si>
  <si>
    <t>Luisangel</t>
  </si>
  <si>
    <t>Colby</t>
  </si>
  <si>
    <t>MJ</t>
  </si>
  <si>
    <t>Miguel</t>
  </si>
  <si>
    <t>Oswald</t>
  </si>
  <si>
    <t>Moisés</t>
  </si>
  <si>
    <t>Francisco</t>
  </si>
  <si>
    <t>Daulton</t>
  </si>
  <si>
    <t>Eric</t>
  </si>
  <si>
    <t>Esteury</t>
  </si>
  <si>
    <t>Ezequiel</t>
  </si>
  <si>
    <t>Jonah</t>
  </si>
  <si>
    <t>Ketel</t>
  </si>
  <si>
    <t>Bo</t>
  </si>
  <si>
    <t>Aaron</t>
  </si>
  <si>
    <t>Sam</t>
  </si>
  <si>
    <t>Jac</t>
  </si>
  <si>
    <t>Roman</t>
  </si>
  <si>
    <t>Steven</t>
  </si>
  <si>
    <t>Paul</t>
  </si>
  <si>
    <t>Jo</t>
  </si>
  <si>
    <t>Heliot</t>
  </si>
  <si>
    <t>Alika</t>
  </si>
  <si>
    <t>Owen</t>
  </si>
  <si>
    <t>Jasson</t>
  </si>
  <si>
    <t>Joey</t>
  </si>
  <si>
    <t>Marcus</t>
  </si>
  <si>
    <t>Jakob</t>
  </si>
  <si>
    <t>Mike</t>
  </si>
  <si>
    <t>Randal</t>
  </si>
  <si>
    <t>Derek</t>
  </si>
  <si>
    <t>Eugenio</t>
  </si>
  <si>
    <t>Javier</t>
  </si>
  <si>
    <t>Kazuma</t>
  </si>
  <si>
    <t>Adrian</t>
  </si>
  <si>
    <t>Richie</t>
  </si>
  <si>
    <t>Alex</t>
  </si>
  <si>
    <t>Shea</t>
  </si>
  <si>
    <t>Casey</t>
  </si>
  <si>
    <t>Orlando</t>
  </si>
  <si>
    <t>Cam</t>
  </si>
  <si>
    <t>Isiah</t>
  </si>
  <si>
    <t>José</t>
  </si>
  <si>
    <t>Andrés</t>
  </si>
  <si>
    <t>Dylan</t>
  </si>
  <si>
    <t>Andy</t>
  </si>
  <si>
    <t>Pete</t>
  </si>
  <si>
    <t>Bryan</t>
  </si>
  <si>
    <t>Maikel</t>
  </si>
  <si>
    <t>Blaze</t>
  </si>
  <si>
    <t>Drake</t>
  </si>
  <si>
    <t>Sal</t>
  </si>
  <si>
    <t>Edmundo</t>
  </si>
  <si>
    <t>Jhonny</t>
  </si>
  <si>
    <t>Hao-Yu</t>
  </si>
  <si>
    <t>Gavin</t>
  </si>
  <si>
    <t>Xander</t>
  </si>
  <si>
    <t>LuJames</t>
  </si>
  <si>
    <t>Felix</t>
  </si>
  <si>
    <t>David</t>
  </si>
  <si>
    <t>Santiago</t>
  </si>
  <si>
    <t>Ozzie</t>
  </si>
  <si>
    <t>P.J.</t>
  </si>
  <si>
    <t>JJ</t>
  </si>
  <si>
    <t>Drew</t>
  </si>
  <si>
    <t>Justin</t>
  </si>
  <si>
    <t>Jim</t>
  </si>
  <si>
    <t>Byron</t>
  </si>
  <si>
    <t>Eloy</t>
  </si>
  <si>
    <t>Samuel</t>
  </si>
  <si>
    <t>Amed</t>
  </si>
  <si>
    <t>Lawrence</t>
  </si>
  <si>
    <t>Willi</t>
  </si>
  <si>
    <t>Gage</t>
  </si>
  <si>
    <t>Wyatt</t>
  </si>
  <si>
    <t>Trea</t>
  </si>
  <si>
    <t>Dane</t>
  </si>
  <si>
    <t>Aramis</t>
  </si>
  <si>
    <t>Myles</t>
  </si>
  <si>
    <t>Addison</t>
  </si>
  <si>
    <t>TJ</t>
  </si>
  <si>
    <t>LaMonte</t>
  </si>
  <si>
    <t>Seiya</t>
  </si>
  <si>
    <t>Charles</t>
  </si>
  <si>
    <t>Josh</t>
  </si>
  <si>
    <t>Jeimer</t>
  </si>
  <si>
    <t>Willy</t>
  </si>
  <si>
    <t>Dustin</t>
  </si>
  <si>
    <t>Leody</t>
  </si>
  <si>
    <t>Adley</t>
  </si>
  <si>
    <t>Salvador</t>
  </si>
  <si>
    <t>Chadwick</t>
  </si>
  <si>
    <t>Teoscar</t>
  </si>
  <si>
    <t>Jazz</t>
  </si>
  <si>
    <t>Dansby</t>
  </si>
  <si>
    <t>Jarren</t>
  </si>
  <si>
    <t>Adam</t>
  </si>
  <si>
    <t>Xavier</t>
  </si>
  <si>
    <t>Tanner</t>
  </si>
  <si>
    <t>Tsung-Che</t>
  </si>
  <si>
    <t>Jesus</t>
  </si>
  <si>
    <t>A.J.</t>
  </si>
  <si>
    <t>Vladimir</t>
  </si>
  <si>
    <t>Lourdes</t>
  </si>
  <si>
    <t>Miles</t>
  </si>
  <si>
    <t>Andruw</t>
  </si>
  <si>
    <t>Yohendrick</t>
  </si>
  <si>
    <t>Giancarlo</t>
  </si>
  <si>
    <t>Lars</t>
  </si>
  <si>
    <t>Edgar</t>
  </si>
  <si>
    <t>John</t>
  </si>
  <si>
    <t>Ali</t>
  </si>
  <si>
    <t>Mark</t>
  </si>
  <si>
    <t>Chandler</t>
  </si>
  <si>
    <t>Rodolfo</t>
  </si>
  <si>
    <t>Oswaldo</t>
  </si>
  <si>
    <t>Shohei</t>
  </si>
  <si>
    <t>Alejandro</t>
  </si>
  <si>
    <t>Sandy</t>
  </si>
  <si>
    <t>Trent</t>
  </si>
  <si>
    <t>Harrison</t>
  </si>
  <si>
    <t>Nate</t>
  </si>
  <si>
    <t>Christopher</t>
  </si>
  <si>
    <t>Cedric</t>
  </si>
  <si>
    <t>Keibert</t>
  </si>
  <si>
    <t>Ronny</t>
  </si>
  <si>
    <t>Collin</t>
  </si>
  <si>
    <t>Brooks</t>
  </si>
  <si>
    <t>Trey</t>
  </si>
  <si>
    <t>Mookie</t>
  </si>
  <si>
    <t>Ty</t>
  </si>
  <si>
    <t>Agustín</t>
  </si>
  <si>
    <t>Corbin</t>
  </si>
  <si>
    <t>Curtis</t>
  </si>
  <si>
    <t>Jonathan</t>
  </si>
  <si>
    <t>Sebastián</t>
  </si>
  <si>
    <t>Jared</t>
  </si>
  <si>
    <t>Billy</t>
  </si>
  <si>
    <t>Brayan</t>
  </si>
  <si>
    <t>Liam</t>
  </si>
  <si>
    <t>Pavin</t>
  </si>
  <si>
    <t>Alek</t>
  </si>
  <si>
    <t>Alan</t>
  </si>
  <si>
    <t>Brian</t>
  </si>
  <si>
    <t>Denzer</t>
  </si>
  <si>
    <t>Esmerlyn</t>
  </si>
  <si>
    <t>Pedro</t>
  </si>
  <si>
    <t>Iván</t>
  </si>
  <si>
    <t>Samad</t>
  </si>
  <si>
    <t>Julio</t>
  </si>
  <si>
    <t>Elly</t>
  </si>
  <si>
    <t>Tyrone</t>
  </si>
  <si>
    <t>Bobby</t>
  </si>
  <si>
    <t>Dalton</t>
  </si>
  <si>
    <t>J.C.</t>
  </si>
  <si>
    <t>Braden</t>
  </si>
  <si>
    <t>Graham</t>
  </si>
  <si>
    <t>Jonatan</t>
  </si>
  <si>
    <t>Rikuu</t>
  </si>
  <si>
    <t>Adolis</t>
  </si>
  <si>
    <t>Gary</t>
  </si>
  <si>
    <t>Jung Hoo</t>
  </si>
  <si>
    <t>Jahmai</t>
  </si>
  <si>
    <t>Masyn</t>
  </si>
  <si>
    <t>Ceddanne</t>
  </si>
  <si>
    <t>Darell</t>
  </si>
  <si>
    <t>Wilyer</t>
  </si>
  <si>
    <t>Lenyn</t>
  </si>
  <si>
    <t>Coby</t>
  </si>
  <si>
    <t>William</t>
  </si>
  <si>
    <t>Hyeseong</t>
  </si>
  <si>
    <t>Marcelo</t>
  </si>
  <si>
    <t>Endy</t>
  </si>
  <si>
    <t>Oliver</t>
  </si>
  <si>
    <t>Denzel</t>
  </si>
  <si>
    <t>Wenceel</t>
  </si>
  <si>
    <t>Mickey</t>
  </si>
  <si>
    <t>Noelvi</t>
  </si>
  <si>
    <t>Daylen</t>
  </si>
  <si>
    <t>Yoán</t>
  </si>
  <si>
    <t>Kerry</t>
  </si>
  <si>
    <t>Jerar</t>
  </si>
  <si>
    <t>Buddy</t>
  </si>
  <si>
    <t>Caleb</t>
  </si>
  <si>
    <t>Oneil</t>
  </si>
  <si>
    <t>Rhys</t>
  </si>
  <si>
    <t>Masataka</t>
  </si>
  <si>
    <t>Ernie</t>
  </si>
  <si>
    <t>Eli</t>
  </si>
  <si>
    <t>Colson</t>
  </si>
  <si>
    <t>Parker</t>
  </si>
  <si>
    <t>Heriberto</t>
  </si>
  <si>
    <t>Jeff</t>
  </si>
  <si>
    <t>Geraldo</t>
  </si>
  <si>
    <t>Shay</t>
  </si>
  <si>
    <t>Cal</t>
  </si>
  <si>
    <t>Victor Mesa Jr.</t>
  </si>
  <si>
    <t>Rafael Flores Jr.</t>
  </si>
  <si>
    <t>Enrique Hernández</t>
  </si>
  <si>
    <t>Enrique</t>
  </si>
  <si>
    <t>Hernández, Enrique</t>
  </si>
  <si>
    <t>Maile</t>
  </si>
  <si>
    <t>Maile, Luke</t>
  </si>
  <si>
    <t>Wilson, Will</t>
  </si>
  <si>
    <t>HR</t>
  </si>
  <si>
    <t>#</t>
  </si>
  <si>
    <t>David Bednar</t>
  </si>
  <si>
    <t>Clayton Beeter</t>
  </si>
  <si>
    <t>Paul Blackburn</t>
  </si>
  <si>
    <t>Kyle Bradish</t>
  </si>
  <si>
    <t>Aroldis Chapman</t>
  </si>
  <si>
    <t>Fernando Cruz</t>
  </si>
  <si>
    <t>Jack Dreyer</t>
  </si>
  <si>
    <t>Jhoan Duran</t>
  </si>
  <si>
    <t>Brandon Eisert</t>
  </si>
  <si>
    <t>Lucas Erceg</t>
  </si>
  <si>
    <t>Carlos Estevez</t>
  </si>
  <si>
    <t>Pete Fairbanks</t>
  </si>
  <si>
    <t>Didier Fuentes</t>
  </si>
  <si>
    <t>Rico Garcia</t>
  </si>
  <si>
    <t>Cade Gibson</t>
  </si>
  <si>
    <t>J.T. Ginn</t>
  </si>
  <si>
    <t>Maverick Handley</t>
  </si>
  <si>
    <t>Edgardo Henriquez</t>
  </si>
  <si>
    <t>Sam Hentges</t>
  </si>
  <si>
    <t>Jimmy Herget</t>
  </si>
  <si>
    <t>Raisel Iglesias</t>
  </si>
  <si>
    <t>Kenley Jansen</t>
  </si>
  <si>
    <t>William Kempner</t>
  </si>
  <si>
    <t>Zak Kent</t>
  </si>
  <si>
    <t>Orion Kerkering</t>
  </si>
  <si>
    <t>Tyler Kinley</t>
  </si>
  <si>
    <t>Alex Lange</t>
  </si>
  <si>
    <t>Jake Latz</t>
  </si>
  <si>
    <t>Jonathan Loaisiga</t>
  </si>
  <si>
    <t>Reynaldo Lopez</t>
  </si>
  <si>
    <t>Brad Lord</t>
  </si>
  <si>
    <t>Trevor Megill</t>
  </si>
  <si>
    <t>Owen Murphy</t>
  </si>
  <si>
    <t>Daniel Palencia</t>
  </si>
  <si>
    <t>Chad Patrick</t>
  </si>
  <si>
    <t>Jack Perkins</t>
  </si>
  <si>
    <t>Orlando Ribalta</t>
  </si>
  <si>
    <t>Trevor Richards</t>
  </si>
  <si>
    <t>JR Ritchie</t>
  </si>
  <si>
    <t>Ryan Rolison</t>
  </si>
  <si>
    <t>Paxton Schultz</t>
  </si>
  <si>
    <t>Connor Seabold</t>
  </si>
  <si>
    <t>Antonio Senzatela</t>
  </si>
  <si>
    <t>Chase Shugart</t>
  </si>
  <si>
    <t>Cade Smith</t>
  </si>
  <si>
    <t>Dylan Smith</t>
  </si>
  <si>
    <t>George Soriano</t>
  </si>
  <si>
    <t>Gabe Speier</t>
  </si>
  <si>
    <t>Robert Suarez</t>
  </si>
  <si>
    <t>Caleb Thielbar</t>
  </si>
  <si>
    <t>Ricky Vanasco</t>
  </si>
  <si>
    <t>Gus Varland</t>
  </si>
  <si>
    <t>Alex Vesia</t>
  </si>
  <si>
    <t>Will Vest</t>
  </si>
  <si>
    <t>Victor Vodnik</t>
  </si>
  <si>
    <t>Jacob Waguespack</t>
  </si>
  <si>
    <t>Luke Weaver</t>
  </si>
  <si>
    <t>Garrett Whitlock</t>
  </si>
  <si>
    <t>Jordan Wicks</t>
  </si>
  <si>
    <t>Devin Williams</t>
  </si>
  <si>
    <t>Keaton Winn</t>
  </si>
  <si>
    <t>WAS </t>
  </si>
  <si>
    <t>HOU </t>
  </si>
  <si>
    <t>CHC </t>
  </si>
  <si>
    <t>NYY </t>
  </si>
  <si>
    <t>STL </t>
  </si>
  <si>
    <t>ATH </t>
  </si>
  <si>
    <t>LAD </t>
  </si>
  <si>
    <t>PHI </t>
  </si>
  <si>
    <t>PIT </t>
  </si>
  <si>
    <t>MIL </t>
  </si>
  <si>
    <t>TB </t>
  </si>
  <si>
    <t>CWS </t>
  </si>
  <si>
    <t>ATL </t>
  </si>
  <si>
    <t>CIN </t>
  </si>
  <si>
    <t>KC </t>
  </si>
  <si>
    <t>LAA </t>
  </si>
  <si>
    <t>MIA </t>
  </si>
  <si>
    <t>BAL </t>
  </si>
  <si>
    <t>SEA </t>
  </si>
  <si>
    <t>COL </t>
  </si>
  <si>
    <t>ARI </t>
  </si>
  <si>
    <t>BOS </t>
  </si>
  <si>
    <t>DET </t>
  </si>
  <si>
    <t>MIN </t>
  </si>
  <si>
    <t>NYM </t>
  </si>
  <si>
    <t>TOR </t>
  </si>
  <si>
    <t>SF </t>
  </si>
  <si>
    <t>SD </t>
  </si>
  <si>
    <t>TEX </t>
  </si>
  <si>
    <t>CLE </t>
  </si>
  <si>
    <t>mlb_player_ID</t>
  </si>
  <si>
    <t>mlb_statcast_name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</si>
</sst>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.199999999999999"/>
      <name val="Helvetica Neue"/>
      <family val="2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theme="1"/>
      <name val="Helvetica Neue"/>
      <family val="2"/>
    </font>
    <font>
      <sz val="12"/>
      <name val="Aptos Narrow"/>
      <family val="2"/>
      <scheme val="minor"/>
    </font>
    <font>
      <sz val="10"/>
      <color theme="1"/>
      <name val="Aptos Narrow"/>
      <scheme val="minor"/>
    </font>
    <font>
      <sz val="10.199999999999999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20" fillId="0" borderId="0" xfId="0" applyFont="1"/>
    <xf numFmtId="0" fontId="21" fillId="0" borderId="0" xfId="0" applyFont="1"/>
    <xf numFmtId="0" fontId="20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/>
    <xf numFmtId="0" fontId="21" fillId="0" borderId="0" xfId="0" applyFont="1" applyAlignment="1">
      <alignment horizontal="center"/>
    </xf>
    <xf numFmtId="0" fontId="18" fillId="0" borderId="0" xfId="0" applyFont="1" applyAlignment="1">
      <alignment horizontal="center" wrapText="1"/>
    </xf>
    <xf numFmtId="0" fontId="25" fillId="0" borderId="0" xfId="0" applyFont="1" applyAlignment="1">
      <alignment horizontal="left" vertical="center" wrapText="1"/>
    </xf>
    <xf numFmtId="0" fontId="2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BCB09-DCEC-4A42-812B-1E04B50EE495}">
  <dimension ref="A1:I500"/>
  <sheetViews>
    <sheetView topLeftCell="A272" zoomScale="140" zoomScaleNormal="140" workbookViewId="0">
      <selection activeCell="A248" sqref="A248:XFD248"/>
    </sheetView>
  </sheetViews>
  <sheetFormatPr baseColWidth="10" defaultColWidth="8.83203125" defaultRowHeight="16" x14ac:dyDescent="0.2"/>
  <cols>
    <col min="1" max="1" width="8" bestFit="1" customWidth="1"/>
    <col min="2" max="2" width="17.33203125" customWidth="1"/>
    <col min="3" max="3" width="19.5" bestFit="1" customWidth="1"/>
    <col min="4" max="4" width="19.33203125" bestFit="1" customWidth="1"/>
    <col min="5" max="5" width="18" bestFit="1" customWidth="1"/>
    <col min="6" max="6" width="10" bestFit="1" customWidth="1"/>
    <col min="7" max="7" width="8.33203125" bestFit="1" customWidth="1"/>
  </cols>
  <sheetData>
    <row r="1" spans="1:9" x14ac:dyDescent="0.2">
      <c r="A1" s="1" t="s">
        <v>0</v>
      </c>
      <c r="B1" s="1" t="s">
        <v>2225</v>
      </c>
      <c r="C1" s="1" t="s">
        <v>2226</v>
      </c>
      <c r="D1" s="1" t="s">
        <v>670</v>
      </c>
      <c r="E1" s="1" t="s">
        <v>671</v>
      </c>
      <c r="F1" s="1" t="s">
        <v>1</v>
      </c>
      <c r="G1" s="1" t="s">
        <v>2132</v>
      </c>
      <c r="H1" s="1" t="s">
        <v>5</v>
      </c>
      <c r="I1" s="1" t="s">
        <v>690</v>
      </c>
    </row>
    <row r="2" spans="1:9" x14ac:dyDescent="0.2">
      <c r="A2" s="1">
        <v>1</v>
      </c>
      <c r="B2" s="1">
        <f>_xlfn.XLOOKUP($C2,mlb_ids!E:E,mlb_ids!A:A,"xxx")</f>
        <v>656941</v>
      </c>
      <c r="C2" s="11" t="s">
        <v>276</v>
      </c>
      <c r="D2" s="2" t="s">
        <v>276</v>
      </c>
      <c r="E2" s="2" t="s">
        <v>276</v>
      </c>
      <c r="F2" s="10" t="s">
        <v>2202</v>
      </c>
      <c r="G2" s="10">
        <v>32</v>
      </c>
      <c r="H2" s="10" t="str">
        <f>_xlfn.XLOOKUP($E2,'games played'!$A:$A,'games played'!K:K,"xxx")</f>
        <v>DH</v>
      </c>
      <c r="I2" s="10" t="b">
        <f>_xlfn.XLOOKUP($E2,'games played'!$A:$A,'games played'!L:L,"xxx")</f>
        <v>0</v>
      </c>
    </row>
    <row r="3" spans="1:9" x14ac:dyDescent="0.2">
      <c r="A3" s="1">
        <v>2</v>
      </c>
      <c r="B3" s="1">
        <f>_xlfn.XLOOKUP($C3,mlb_ids!E:E,mlb_ids!A:A,"xxx")</f>
        <v>670541</v>
      </c>
      <c r="C3" s="11" t="s">
        <v>277</v>
      </c>
      <c r="D3" s="2" t="s">
        <v>277</v>
      </c>
      <c r="E3" s="2" t="s">
        <v>277</v>
      </c>
      <c r="F3" s="10" t="s">
        <v>2196</v>
      </c>
      <c r="G3" s="10">
        <v>31</v>
      </c>
      <c r="H3" s="10" t="str">
        <f>_xlfn.XLOOKUP($E3,'games played'!$A:$A,'games played'!K:K,"xxx")</f>
        <v>DH</v>
      </c>
      <c r="I3" s="10" t="b">
        <f>_xlfn.XLOOKUP($E3,'games played'!$A:$A,'games played'!L:L,"xxx")</f>
        <v>0</v>
      </c>
    </row>
    <row r="4" spans="1:9" x14ac:dyDescent="0.2">
      <c r="A4" s="1">
        <v>3</v>
      </c>
      <c r="B4" s="1">
        <f>_xlfn.XLOOKUP($C4,mlb_ids!E:E,mlb_ids!A:A,"xxx")</f>
        <v>700250</v>
      </c>
      <c r="C4" s="11" t="s">
        <v>278</v>
      </c>
      <c r="D4" s="2" t="s">
        <v>278</v>
      </c>
      <c r="E4" s="2" t="s">
        <v>278</v>
      </c>
      <c r="F4" s="10" t="s">
        <v>2198</v>
      </c>
      <c r="G4" s="10">
        <v>29</v>
      </c>
      <c r="H4" s="10" t="str">
        <f>_xlfn.XLOOKUP($E4,'games played'!$A:$A,'games played'!K:K,"xxx")</f>
        <v>1B</v>
      </c>
      <c r="I4" s="10" t="b">
        <f>_xlfn.XLOOKUP($E4,'games played'!$A:$A,'games played'!L:L,"xxx")</f>
        <v>0</v>
      </c>
    </row>
    <row r="5" spans="1:9" x14ac:dyDescent="0.2">
      <c r="A5" s="1">
        <v>4</v>
      </c>
      <c r="B5" s="1">
        <f>_xlfn.XLOOKUP($C5,mlb_ids!E:E,mlb_ids!A:A,"xxx")</f>
        <v>695578</v>
      </c>
      <c r="C5" s="11" t="s">
        <v>279</v>
      </c>
      <c r="D5" s="2" t="s">
        <v>279</v>
      </c>
      <c r="E5" s="2" t="s">
        <v>279</v>
      </c>
      <c r="F5" s="10" t="s">
        <v>2195</v>
      </c>
      <c r="G5" s="10">
        <v>28</v>
      </c>
      <c r="H5" s="10" t="str">
        <f>_xlfn.XLOOKUP($E5,'games played'!$A:$A,'games played'!K:K,"xxx")</f>
        <v>RF</v>
      </c>
      <c r="I5" s="10" t="b">
        <f>_xlfn.XLOOKUP($E5,'games played'!$A:$A,'games played'!L:L,"xxx")</f>
        <v>0</v>
      </c>
    </row>
    <row r="6" spans="1:9" x14ac:dyDescent="0.2">
      <c r="A6" s="1">
        <v>5</v>
      </c>
      <c r="B6" s="1">
        <f>_xlfn.XLOOKUP($C6,mlb_ids!E:E,mlb_ids!A:A,"xxx")</f>
        <v>691406</v>
      </c>
      <c r="C6" s="11" t="s">
        <v>7</v>
      </c>
      <c r="D6" s="2" t="s">
        <v>7</v>
      </c>
      <c r="E6" s="2" t="s">
        <v>7</v>
      </c>
      <c r="F6" s="10" t="s">
        <v>2205</v>
      </c>
      <c r="G6" s="10">
        <v>28</v>
      </c>
      <c r="H6" s="10" t="str">
        <f>_xlfn.XLOOKUP($E6,'games played'!$A:$A,'games played'!K:K,"xxx")</f>
        <v>3B</v>
      </c>
      <c r="I6" s="10" t="b">
        <f>_xlfn.XLOOKUP($E6,'games played'!$A:$A,'games played'!L:L,"xxx")</f>
        <v>0</v>
      </c>
    </row>
    <row r="7" spans="1:9" x14ac:dyDescent="0.2">
      <c r="A7" s="1">
        <v>6</v>
      </c>
      <c r="B7" s="1">
        <f>_xlfn.XLOOKUP($C7,mlb_ids!E:E,mlb_ids!A:A,"xxx")</f>
        <v>696100</v>
      </c>
      <c r="C7" s="11" t="s">
        <v>8</v>
      </c>
      <c r="D7" s="2" t="s">
        <v>8</v>
      </c>
      <c r="E7" s="2" t="s">
        <v>8</v>
      </c>
      <c r="F7" s="10" t="s">
        <v>2214</v>
      </c>
      <c r="G7" s="10">
        <v>27</v>
      </c>
      <c r="H7" s="10" t="str">
        <f>_xlfn.XLOOKUP($E7,'games played'!$A:$A,'games played'!K:K,"xxx")</f>
        <v>C</v>
      </c>
      <c r="I7" s="10" t="b">
        <f>_xlfn.XLOOKUP($E7,'games played'!$A:$A,'games played'!L:L,"xxx")</f>
        <v>0</v>
      </c>
    </row>
    <row r="8" spans="1:9" x14ac:dyDescent="0.2">
      <c r="A8" s="1">
        <v>7</v>
      </c>
      <c r="B8" s="1">
        <f>_xlfn.XLOOKUP($C8,mlb_ids!E:E,mlb_ids!A:A,"xxx")</f>
        <v>621566</v>
      </c>
      <c r="C8" s="11" t="s">
        <v>280</v>
      </c>
      <c r="D8" s="2" t="s">
        <v>280</v>
      </c>
      <c r="E8" s="2" t="s">
        <v>280</v>
      </c>
      <c r="F8" s="10" t="s">
        <v>2207</v>
      </c>
      <c r="G8" s="10">
        <v>25</v>
      </c>
      <c r="H8" s="10" t="str">
        <f>_xlfn.XLOOKUP($E8,'games played'!$A:$A,'games played'!K:K,"xxx")</f>
        <v>1B</v>
      </c>
      <c r="I8" s="10" t="b">
        <f>_xlfn.XLOOKUP($E8,'games played'!$A:$A,'games played'!L:L,"xxx")</f>
        <v>0</v>
      </c>
    </row>
    <row r="9" spans="1:9" x14ac:dyDescent="0.2">
      <c r="A9" s="1">
        <v>8</v>
      </c>
      <c r="B9" s="1">
        <f>_xlfn.XLOOKUP($C9,mlb_ids!E:E,mlb_ids!A:A,"xxx")</f>
        <v>621439</v>
      </c>
      <c r="C9" s="11" t="s">
        <v>10</v>
      </c>
      <c r="D9" s="2" t="s">
        <v>10</v>
      </c>
      <c r="E9" s="2" t="s">
        <v>10</v>
      </c>
      <c r="F9" s="10" t="s">
        <v>2218</v>
      </c>
      <c r="G9" s="10">
        <v>25</v>
      </c>
      <c r="H9" s="10" t="str">
        <f>_xlfn.XLOOKUP($E9,'games played'!$A:$A,'games played'!K:K,"xxx")</f>
        <v>CF</v>
      </c>
      <c r="I9" s="10" t="b">
        <f>_xlfn.XLOOKUP($E9,'games played'!$A:$A,'games played'!L:L,"xxx")</f>
        <v>0</v>
      </c>
    </row>
    <row r="10" spans="1:9" x14ac:dyDescent="0.2">
      <c r="A10" s="1">
        <v>9</v>
      </c>
      <c r="B10" s="1">
        <f>_xlfn.XLOOKUP($C10,mlb_ids!E:E,mlb_ids!A:A,"xxx")</f>
        <v>695657</v>
      </c>
      <c r="C10" s="11" t="s">
        <v>281</v>
      </c>
      <c r="D10" s="2" t="s">
        <v>281</v>
      </c>
      <c r="E10" s="2" t="s">
        <v>281</v>
      </c>
      <c r="F10" s="10" t="s">
        <v>2206</v>
      </c>
      <c r="G10" s="10">
        <v>23</v>
      </c>
      <c r="H10" s="10" t="str">
        <f>_xlfn.XLOOKUP($E10,'games played'!$A:$A,'games played'!K:K,"xxx")</f>
        <v>SS</v>
      </c>
      <c r="I10" s="10" t="b">
        <f>_xlfn.XLOOKUP($E10,'games played'!$A:$A,'games played'!L:L,"xxx")</f>
        <v>0</v>
      </c>
    </row>
    <row r="11" spans="1:9" x14ac:dyDescent="0.2">
      <c r="A11" s="1">
        <v>10</v>
      </c>
      <c r="B11" s="1">
        <f>_xlfn.XLOOKUP($C11,mlb_ids!E:E,mlb_ids!A:A,"xxx")</f>
        <v>660271</v>
      </c>
      <c r="C11" s="11" t="s">
        <v>282</v>
      </c>
      <c r="D11" s="2" t="s">
        <v>282</v>
      </c>
      <c r="E11" s="2" t="s">
        <v>282</v>
      </c>
      <c r="F11" s="10" t="s">
        <v>2201</v>
      </c>
      <c r="G11" s="10">
        <v>22</v>
      </c>
      <c r="H11" s="10" t="str">
        <f>_xlfn.XLOOKUP($E11,'games played'!$A:$A,'games played'!K:K,"xxx")</f>
        <v>DH</v>
      </c>
      <c r="I11" s="10" t="b">
        <f>_xlfn.XLOOKUP($E11,'games played'!$A:$A,'games played'!L:L,"xxx")</f>
        <v>0</v>
      </c>
    </row>
    <row r="12" spans="1:9" x14ac:dyDescent="0.2">
      <c r="A12" s="1">
        <v>11</v>
      </c>
      <c r="B12" s="1">
        <f>_xlfn.XLOOKUP($C12,mlb_ids!E:E,mlb_ids!A:A,"xxx")</f>
        <v>691023</v>
      </c>
      <c r="C12" s="11" t="s">
        <v>12</v>
      </c>
      <c r="D12" s="2" t="s">
        <v>12</v>
      </c>
      <c r="E12" s="2" t="s">
        <v>12</v>
      </c>
      <c r="F12" s="10" t="s">
        <v>2199</v>
      </c>
      <c r="G12" s="10">
        <v>22</v>
      </c>
      <c r="H12" s="10" t="str">
        <f>_xlfn.XLOOKUP($E12,'games played'!$A:$A,'games played'!K:K,"xxx")</f>
        <v>RF</v>
      </c>
      <c r="I12" s="10" t="b">
        <f>_xlfn.XLOOKUP($E12,'games played'!$A:$A,'games played'!L:L,"xxx")</f>
        <v>0</v>
      </c>
    </row>
    <row r="13" spans="1:9" x14ac:dyDescent="0.2">
      <c r="A13" s="1">
        <v>12</v>
      </c>
      <c r="B13" s="1">
        <f>_xlfn.XLOOKUP($C13,mlb_ids!E:E,mlb_ids!A:A,"xxx")</f>
        <v>672960</v>
      </c>
      <c r="C13" s="11" t="s">
        <v>13</v>
      </c>
      <c r="D13" s="2" t="s">
        <v>13</v>
      </c>
      <c r="E13" s="2" t="s">
        <v>13</v>
      </c>
      <c r="F13" s="10" t="s">
        <v>2220</v>
      </c>
      <c r="G13" s="10">
        <v>22</v>
      </c>
      <c r="H13" s="10" t="str">
        <f>_xlfn.XLOOKUP($E13,'games played'!$A:$A,'games played'!K:K,"xxx")</f>
        <v>3B</v>
      </c>
      <c r="I13" s="10" t="b">
        <f>_xlfn.XLOOKUP($E13,'games played'!$A:$A,'games played'!L:L,"xxx")</f>
        <v>0</v>
      </c>
    </row>
    <row r="14" spans="1:9" x14ac:dyDescent="0.2">
      <c r="A14" s="1">
        <v>13</v>
      </c>
      <c r="B14" s="1">
        <f>_xlfn.XLOOKUP($C14,mlb_ids!E:E,mlb_ids!A:A,"xxx")</f>
        <v>624413</v>
      </c>
      <c r="C14" s="11" t="s">
        <v>14</v>
      </c>
      <c r="D14" s="2" t="s">
        <v>14</v>
      </c>
      <c r="E14" s="2" t="s">
        <v>14</v>
      </c>
      <c r="F14" s="10" t="s">
        <v>2212</v>
      </c>
      <c r="G14" s="10">
        <v>21</v>
      </c>
      <c r="H14" s="10" t="str">
        <f>_xlfn.XLOOKUP($E14,'games played'!$A:$A,'games played'!K:K,"xxx")</f>
        <v>1B</v>
      </c>
      <c r="I14" s="10" t="b">
        <f>_xlfn.XLOOKUP($E14,'games played'!$A:$A,'games played'!L:L,"xxx")</f>
        <v>0</v>
      </c>
    </row>
    <row r="15" spans="1:9" x14ac:dyDescent="0.2">
      <c r="A15" s="1">
        <v>14</v>
      </c>
      <c r="B15" s="1">
        <f>_xlfn.XLOOKUP($C15,mlb_ids!E:E,mlb_ids!A:A,"xxx")</f>
        <v>691718</v>
      </c>
      <c r="C15" s="11" t="s">
        <v>283</v>
      </c>
      <c r="D15" s="2" t="s">
        <v>283</v>
      </c>
      <c r="E15" s="2" t="s">
        <v>283</v>
      </c>
      <c r="F15" s="10" t="s">
        <v>2197</v>
      </c>
      <c r="G15" s="10">
        <v>21</v>
      </c>
      <c r="H15" s="10" t="str">
        <f>_xlfn.XLOOKUP($E15,'games played'!$A:$A,'games played'!K:K,"xxx")</f>
        <v>CF</v>
      </c>
      <c r="I15" s="10" t="b">
        <f>_xlfn.XLOOKUP($E15,'games played'!$A:$A,'games played'!L:L,"xxx")</f>
        <v>0</v>
      </c>
    </row>
    <row r="16" spans="1:9" x14ac:dyDescent="0.2">
      <c r="A16" s="1">
        <v>15</v>
      </c>
      <c r="B16" s="1">
        <f>_xlfn.XLOOKUP($C16,mlb_ids!E:E,mlb_ids!A:A,"xxx")</f>
        <v>678246</v>
      </c>
      <c r="C16" s="11" t="s">
        <v>16</v>
      </c>
      <c r="D16" s="2" t="s">
        <v>16</v>
      </c>
      <c r="E16" s="2" t="s">
        <v>16</v>
      </c>
      <c r="F16" s="10" t="s">
        <v>2206</v>
      </c>
      <c r="G16" s="10">
        <v>21</v>
      </c>
      <c r="H16" s="10" t="str">
        <f>_xlfn.XLOOKUP($E16,'games played'!$A:$A,'games played'!K:K,"xxx")</f>
        <v>3B</v>
      </c>
      <c r="I16" s="10" t="b">
        <f>_xlfn.XLOOKUP($E16,'games played'!$A:$A,'games played'!L:L,"xxx")</f>
        <v>0</v>
      </c>
    </row>
    <row r="17" spans="1:9" x14ac:dyDescent="0.2">
      <c r="A17" s="1">
        <v>16</v>
      </c>
      <c r="B17" s="1">
        <f>_xlfn.XLOOKUP($C17,mlb_ids!E:E,mlb_ids!A:A,"xxx")</f>
        <v>664040</v>
      </c>
      <c r="C17" s="11" t="s">
        <v>284</v>
      </c>
      <c r="D17" s="2" t="s">
        <v>284</v>
      </c>
      <c r="E17" s="2" t="s">
        <v>284</v>
      </c>
      <c r="F17" s="10" t="s">
        <v>2203</v>
      </c>
      <c r="G17" s="10">
        <v>21</v>
      </c>
      <c r="H17" s="10" t="str">
        <f>_xlfn.XLOOKUP($E17,'games played'!$A:$A,'games played'!K:K,"xxx")</f>
        <v>2B</v>
      </c>
      <c r="I17" s="10" t="b">
        <f>_xlfn.XLOOKUP($E17,'games played'!$A:$A,'games played'!L:L,"xxx")</f>
        <v>0</v>
      </c>
    </row>
    <row r="18" spans="1:9" x14ac:dyDescent="0.2">
      <c r="A18" s="1">
        <v>17</v>
      </c>
      <c r="B18" s="1">
        <f>_xlfn.XLOOKUP($C18,mlb_ids!E:E,mlb_ids!A:A,"xxx")</f>
        <v>669127</v>
      </c>
      <c r="C18" s="11" t="s">
        <v>17</v>
      </c>
      <c r="D18" s="2" t="s">
        <v>17</v>
      </c>
      <c r="E18" s="2" t="s">
        <v>17</v>
      </c>
      <c r="F18" s="10" t="s">
        <v>2200</v>
      </c>
      <c r="G18" s="10">
        <v>21</v>
      </c>
      <c r="H18" s="10" t="str">
        <f>_xlfn.XLOOKUP($E18,'games played'!$A:$A,'games played'!K:K,"xxx")</f>
        <v>C</v>
      </c>
      <c r="I18" s="10" t="b">
        <f>_xlfn.XLOOKUP($E18,'games played'!$A:$A,'games played'!L:L,"xxx")</f>
        <v>0</v>
      </c>
    </row>
    <row r="19" spans="1:9" x14ac:dyDescent="0.2">
      <c r="A19" s="1">
        <v>18</v>
      </c>
      <c r="B19" s="1">
        <f>_xlfn.XLOOKUP($C19,mlb_ids!E:E,mlb_ids!A:A,"xxx")</f>
        <v>665742</v>
      </c>
      <c r="C19" s="11" t="s">
        <v>285</v>
      </c>
      <c r="D19" s="2" t="s">
        <v>285</v>
      </c>
      <c r="E19" s="2" t="s">
        <v>285</v>
      </c>
      <c r="F19" s="10" t="s">
        <v>2219</v>
      </c>
      <c r="G19" s="10">
        <v>21</v>
      </c>
      <c r="H19" s="10" t="str">
        <f>_xlfn.XLOOKUP($E19,'games played'!$A:$A,'games played'!K:K,"xxx")</f>
        <v>LF</v>
      </c>
      <c r="I19" s="10" t="b">
        <f>_xlfn.XLOOKUP($E19,'games played'!$A:$A,'games played'!L:L,"xxx")</f>
        <v>0</v>
      </c>
    </row>
    <row r="20" spans="1:9" x14ac:dyDescent="0.2">
      <c r="A20" s="1">
        <v>19</v>
      </c>
      <c r="B20" s="1">
        <f>_xlfn.XLOOKUP($C20,mlb_ids!E:E,mlb_ids!A:A,"xxx")</f>
        <v>701762</v>
      </c>
      <c r="C20" s="11" t="s">
        <v>286</v>
      </c>
      <c r="D20" s="2" t="s">
        <v>286</v>
      </c>
      <c r="E20" s="2" t="s">
        <v>286</v>
      </c>
      <c r="F20" s="10" t="s">
        <v>2200</v>
      </c>
      <c r="G20" s="10">
        <v>20</v>
      </c>
      <c r="H20" s="10" t="str">
        <f>_xlfn.XLOOKUP($E20,'games played'!$A:$A,'games played'!K:K,"xxx")</f>
        <v>1B</v>
      </c>
      <c r="I20" s="10" t="b">
        <f>_xlfn.XLOOKUP($E20,'games played'!$A:$A,'games played'!L:L,"xxx")</f>
        <v>0</v>
      </c>
    </row>
    <row r="21" spans="1:9" x14ac:dyDescent="0.2">
      <c r="A21" s="1">
        <v>20</v>
      </c>
      <c r="B21" s="1">
        <f>_xlfn.XLOOKUP($C21,mlb_ids!E:E,mlb_ids!A:A,"xxx")</f>
        <v>547180</v>
      </c>
      <c r="C21" s="11" t="s">
        <v>287</v>
      </c>
      <c r="D21" s="2" t="s">
        <v>287</v>
      </c>
      <c r="E21" s="2" t="s">
        <v>287</v>
      </c>
      <c r="F21" s="10" t="s">
        <v>2202</v>
      </c>
      <c r="G21" s="10">
        <v>20</v>
      </c>
      <c r="H21" s="10" t="str">
        <f>_xlfn.XLOOKUP($E21,'games played'!$A:$A,'games played'!K:K,"xxx")</f>
        <v>1B</v>
      </c>
      <c r="I21" s="10" t="b">
        <f>_xlfn.XLOOKUP($E21,'games played'!$A:$A,'games played'!L:L,"xxx")</f>
        <v>0</v>
      </c>
    </row>
    <row r="22" spans="1:9" x14ac:dyDescent="0.2">
      <c r="A22" s="1">
        <v>21</v>
      </c>
      <c r="B22" s="1">
        <f>_xlfn.XLOOKUP($C22,mlb_ids!E:E,mlb_ids!A:A,"xxx")</f>
        <v>572233</v>
      </c>
      <c r="C22" s="11" t="s">
        <v>19</v>
      </c>
      <c r="D22" s="2" t="s">
        <v>19</v>
      </c>
      <c r="E22" s="2" t="s">
        <v>19</v>
      </c>
      <c r="F22" s="10" t="s">
        <v>2196</v>
      </c>
      <c r="G22" s="10">
        <v>20</v>
      </c>
      <c r="H22" s="10" t="str">
        <f>_xlfn.XLOOKUP($E22,'games played'!$A:$A,'games played'!K:K,"xxx")</f>
        <v>1B</v>
      </c>
      <c r="I22" s="10" t="b">
        <f>_xlfn.XLOOKUP($E22,'games played'!$A:$A,'games played'!L:L,"xxx")</f>
        <v>0</v>
      </c>
    </row>
    <row r="23" spans="1:9" x14ac:dyDescent="0.2">
      <c r="A23" s="1">
        <v>22</v>
      </c>
      <c r="B23" s="1">
        <f>_xlfn.XLOOKUP($C23,mlb_ids!E:E,mlb_ids!A:A,"xxx")</f>
        <v>682928</v>
      </c>
      <c r="C23" s="11" t="s">
        <v>288</v>
      </c>
      <c r="D23" s="2" t="s">
        <v>288</v>
      </c>
      <c r="E23" s="2" t="s">
        <v>288</v>
      </c>
      <c r="F23" s="10" t="s">
        <v>2195</v>
      </c>
      <c r="G23" s="10">
        <v>20</v>
      </c>
      <c r="H23" s="10" t="str">
        <f>_xlfn.XLOOKUP($E23,'games played'!$A:$A,'games played'!K:K,"xxx")</f>
        <v>SS</v>
      </c>
      <c r="I23" s="10" t="b">
        <f>_xlfn.XLOOKUP($E23,'games played'!$A:$A,'games played'!L:L,"xxx")</f>
        <v>0</v>
      </c>
    </row>
    <row r="24" spans="1:9" x14ac:dyDescent="0.2">
      <c r="A24" s="1">
        <v>23</v>
      </c>
      <c r="B24" s="1">
        <f>_xlfn.XLOOKUP($C24,mlb_ids!E:E,mlb_ids!A:A,"xxx")</f>
        <v>575929</v>
      </c>
      <c r="C24" s="11" t="s">
        <v>20</v>
      </c>
      <c r="D24" s="2" t="s">
        <v>20</v>
      </c>
      <c r="E24" s="2" t="s">
        <v>20</v>
      </c>
      <c r="F24" s="10" t="s">
        <v>2216</v>
      </c>
      <c r="G24" s="10">
        <v>20</v>
      </c>
      <c r="H24" s="10" t="str">
        <f>_xlfn.XLOOKUP($E24,'games played'!$A:$A,'games played'!K:K,"xxx")</f>
        <v>1B</v>
      </c>
      <c r="I24" s="10" t="b">
        <f>_xlfn.XLOOKUP($E24,'games played'!$A:$A,'games played'!L:L,"xxx")</f>
        <v>0</v>
      </c>
    </row>
    <row r="25" spans="1:9" x14ac:dyDescent="0.2">
      <c r="A25" s="1">
        <v>24</v>
      </c>
      <c r="B25" s="1">
        <f>_xlfn.XLOOKUP($C25,mlb_ids!E:E,mlb_ids!A:A,"xxx")</f>
        <v>671277</v>
      </c>
      <c r="C25" s="11" t="s">
        <v>289</v>
      </c>
      <c r="D25" s="2" t="s">
        <v>289</v>
      </c>
      <c r="E25" s="2" t="s">
        <v>570</v>
      </c>
      <c r="F25" s="10" t="s">
        <v>2195</v>
      </c>
      <c r="G25" s="10">
        <v>20</v>
      </c>
      <c r="H25" s="10" t="str">
        <f>_xlfn.XLOOKUP($E25,'games played'!$A:$A,'games played'!K:K,"xxx")</f>
        <v>1B</v>
      </c>
      <c r="I25" s="10" t="b">
        <f>_xlfn.XLOOKUP($E25,'games played'!$A:$A,'games played'!L:L,"xxx")</f>
        <v>0</v>
      </c>
    </row>
    <row r="26" spans="1:9" x14ac:dyDescent="0.2">
      <c r="A26" s="1">
        <v>25</v>
      </c>
      <c r="B26" s="1">
        <f>_xlfn.XLOOKUP($C26,mlb_ids!E:E,mlb_ids!A:A,"xxx")</f>
        <v>808959</v>
      </c>
      <c r="C26" s="11" t="s">
        <v>290</v>
      </c>
      <c r="D26" s="2" t="s">
        <v>290</v>
      </c>
      <c r="E26" s="2" t="s">
        <v>290</v>
      </c>
      <c r="F26" s="10" t="s">
        <v>2206</v>
      </c>
      <c r="G26" s="10">
        <v>20</v>
      </c>
      <c r="H26" s="10" t="str">
        <f>_xlfn.XLOOKUP($E26,'games played'!$A:$A,'games played'!K:K,"xxx")</f>
        <v>1B</v>
      </c>
      <c r="I26" s="10" t="b">
        <f>_xlfn.XLOOKUP($E26,'games played'!$A:$A,'games played'!L:L,"xxx")</f>
        <v>0</v>
      </c>
    </row>
    <row r="27" spans="1:9" x14ac:dyDescent="0.2">
      <c r="A27" s="1">
        <v>26</v>
      </c>
      <c r="B27" s="1">
        <f>_xlfn.XLOOKUP($C27,mlb_ids!E:E,mlb_ids!A:A,"xxx")</f>
        <v>687263</v>
      </c>
      <c r="C27" s="11" t="s">
        <v>21</v>
      </c>
      <c r="D27" s="2" t="s">
        <v>21</v>
      </c>
      <c r="E27" s="2" t="s">
        <v>21</v>
      </c>
      <c r="F27" s="10" t="s">
        <v>2210</v>
      </c>
      <c r="G27" s="10">
        <v>19</v>
      </c>
      <c r="H27" s="10" t="str">
        <f>_xlfn.XLOOKUP($E27,'games played'!$A:$A,'games played'!K:K,"xxx")</f>
        <v>SS</v>
      </c>
      <c r="I27" s="10" t="b">
        <f>_xlfn.XLOOKUP($E27,'games played'!$A:$A,'games played'!L:L,"xxx")</f>
        <v>0</v>
      </c>
    </row>
    <row r="28" spans="1:9" x14ac:dyDescent="0.2">
      <c r="A28" s="1">
        <v>27</v>
      </c>
      <c r="B28" s="1">
        <f>_xlfn.XLOOKUP($C28,mlb_ids!E:E,mlb_ids!A:A,"xxx")</f>
        <v>701398</v>
      </c>
      <c r="C28" s="11" t="s">
        <v>23</v>
      </c>
      <c r="D28" s="2" t="s">
        <v>23</v>
      </c>
      <c r="E28" s="2" t="s">
        <v>23</v>
      </c>
      <c r="F28" s="10" t="s">
        <v>2208</v>
      </c>
      <c r="G28" s="10">
        <v>19</v>
      </c>
      <c r="H28" s="10" t="str">
        <f>_xlfn.XLOOKUP($E28,'games played'!$A:$A,'games played'!K:K,"xxx")</f>
        <v>1B</v>
      </c>
      <c r="I28" s="10" t="b">
        <f>_xlfn.XLOOKUP($E28,'games played'!$A:$A,'games played'!L:L,"xxx")</f>
        <v>0</v>
      </c>
    </row>
    <row r="29" spans="1:9" x14ac:dyDescent="0.2">
      <c r="A29" s="1">
        <v>28</v>
      </c>
      <c r="B29" s="1">
        <f>_xlfn.XLOOKUP($C29,mlb_ids!E:E,mlb_ids!A:A,"xxx")</f>
        <v>646240</v>
      </c>
      <c r="C29" s="11" t="s">
        <v>291</v>
      </c>
      <c r="D29" s="2" t="s">
        <v>291</v>
      </c>
      <c r="E29" s="2" t="s">
        <v>291</v>
      </c>
      <c r="F29" s="10" t="s">
        <v>2221</v>
      </c>
      <c r="G29" s="10">
        <v>19</v>
      </c>
      <c r="H29" s="10" t="str">
        <f>_xlfn.XLOOKUP($E29,'games played'!$A:$A,'games played'!K:K,"xxx")</f>
        <v>1B</v>
      </c>
      <c r="I29" s="10" t="b">
        <f>_xlfn.XLOOKUP($E29,'games played'!$A:$A,'games played'!L:L,"xxx")</f>
        <v>0</v>
      </c>
    </row>
    <row r="30" spans="1:9" x14ac:dyDescent="0.2">
      <c r="A30" s="1">
        <v>29</v>
      </c>
      <c r="B30" s="1">
        <f>_xlfn.XLOOKUP($C30,mlb_ids!E:E,mlb_ids!A:A,"xxx")</f>
        <v>592518</v>
      </c>
      <c r="C30" s="11" t="s">
        <v>25</v>
      </c>
      <c r="D30" s="2" t="s">
        <v>25</v>
      </c>
      <c r="E30" s="2" t="s">
        <v>25</v>
      </c>
      <c r="F30" s="10" t="s">
        <v>2222</v>
      </c>
      <c r="G30" s="10">
        <v>19</v>
      </c>
      <c r="H30" s="10" t="str">
        <f>_xlfn.XLOOKUP($E30,'games played'!$A:$A,'games played'!K:K,"xxx")</f>
        <v>3B</v>
      </c>
      <c r="I30" s="10" t="b">
        <f>_xlfn.XLOOKUP($E30,'games played'!$A:$A,'games played'!L:L,"xxx")</f>
        <v>0</v>
      </c>
    </row>
    <row r="31" spans="1:9" x14ac:dyDescent="0.2">
      <c r="A31" s="1">
        <v>30</v>
      </c>
      <c r="B31" s="1">
        <f>_xlfn.XLOOKUP($C31,mlb_ids!E:E,mlb_ids!A:A,"xxx")</f>
        <v>669477</v>
      </c>
      <c r="C31" s="11" t="s">
        <v>26</v>
      </c>
      <c r="D31" s="2" t="s">
        <v>26</v>
      </c>
      <c r="E31" s="2" t="s">
        <v>26</v>
      </c>
      <c r="F31" s="10" t="s">
        <v>2221</v>
      </c>
      <c r="G31" s="10">
        <v>19</v>
      </c>
      <c r="H31" s="10" t="str">
        <f>_xlfn.XLOOKUP($E31,'games played'!$A:$A,'games played'!K:K,"xxx")</f>
        <v>LF</v>
      </c>
      <c r="I31" s="10" t="b">
        <f>_xlfn.XLOOKUP($E31,'games played'!$A:$A,'games played'!L:L,"xxx")</f>
        <v>0</v>
      </c>
    </row>
    <row r="32" spans="1:9" x14ac:dyDescent="0.2">
      <c r="A32" s="1">
        <v>31</v>
      </c>
      <c r="B32" s="1">
        <f>_xlfn.XLOOKUP($C32,mlb_ids!E:E,mlb_ids!A:A,"xxx")</f>
        <v>693307</v>
      </c>
      <c r="C32" s="11" t="s">
        <v>27</v>
      </c>
      <c r="D32" s="2" t="s">
        <v>27</v>
      </c>
      <c r="E32" s="2" t="s">
        <v>27</v>
      </c>
      <c r="F32" s="10" t="s">
        <v>2217</v>
      </c>
      <c r="G32" s="10">
        <v>19</v>
      </c>
      <c r="H32" s="10" t="str">
        <f>_xlfn.XLOOKUP($E32,'games played'!$A:$A,'games played'!K:K,"xxx")</f>
        <v>C</v>
      </c>
      <c r="I32" s="10" t="b">
        <f>_xlfn.XLOOKUP($E32,'games played'!$A:$A,'games played'!L:L,"xxx")</f>
        <v>0</v>
      </c>
    </row>
    <row r="33" spans="1:9" x14ac:dyDescent="0.2">
      <c r="A33" s="1">
        <v>32</v>
      </c>
      <c r="B33" s="1">
        <f>_xlfn.XLOOKUP($C33,mlb_ids!E:E,mlb_ids!A:A,"xxx")</f>
        <v>545361</v>
      </c>
      <c r="C33" s="11" t="s">
        <v>29</v>
      </c>
      <c r="D33" s="2" t="s">
        <v>29</v>
      </c>
      <c r="E33" s="2" t="s">
        <v>29</v>
      </c>
      <c r="F33" s="10" t="s">
        <v>2210</v>
      </c>
      <c r="G33" s="10">
        <v>18</v>
      </c>
      <c r="H33" s="10" t="str">
        <f>_xlfn.XLOOKUP($E33,'games played'!$A:$A,'games played'!K:K,"xxx")</f>
        <v>CF</v>
      </c>
      <c r="I33" s="10" t="b">
        <f>_xlfn.XLOOKUP($E33,'games played'!$A:$A,'games played'!L:L,"xxx")</f>
        <v>0</v>
      </c>
    </row>
    <row r="34" spans="1:9" x14ac:dyDescent="0.2">
      <c r="A34" s="1">
        <v>33</v>
      </c>
      <c r="B34" s="1">
        <f>_xlfn.XLOOKUP($C34,mlb_ids!E:E,mlb_ids!A:A,"xxx")</f>
        <v>641343</v>
      </c>
      <c r="C34" s="11" t="s">
        <v>292</v>
      </c>
      <c r="D34" s="2" t="s">
        <v>292</v>
      </c>
      <c r="E34" s="2" t="s">
        <v>292</v>
      </c>
      <c r="F34" s="10" t="s">
        <v>2204</v>
      </c>
      <c r="G34" s="10">
        <v>18</v>
      </c>
      <c r="H34" s="10" t="str">
        <f>_xlfn.XLOOKUP($E34,'games played'!$A:$A,'games played'!K:K,"xxx")</f>
        <v>1B</v>
      </c>
      <c r="I34" s="10" t="b">
        <f>_xlfn.XLOOKUP($E34,'games played'!$A:$A,'games played'!L:L,"xxx")</f>
        <v>0</v>
      </c>
    </row>
    <row r="35" spans="1:9" x14ac:dyDescent="0.2">
      <c r="A35" s="1">
        <v>34</v>
      </c>
      <c r="B35" s="1">
        <f>_xlfn.XLOOKUP($C35,mlb_ids!E:E,mlb_ids!A:A,"xxx")</f>
        <v>683002</v>
      </c>
      <c r="C35" s="11" t="s">
        <v>293</v>
      </c>
      <c r="D35" s="2" t="s">
        <v>293</v>
      </c>
      <c r="E35" s="2" t="s">
        <v>293</v>
      </c>
      <c r="F35" s="10" t="s">
        <v>2212</v>
      </c>
      <c r="G35" s="10">
        <v>17</v>
      </c>
      <c r="H35" s="10" t="str">
        <f>_xlfn.XLOOKUP($E35,'games played'!$A:$A,'games played'!K:K,"xxx")</f>
        <v>SS</v>
      </c>
      <c r="I35" s="10" t="b">
        <f>_xlfn.XLOOKUP($E35,'games played'!$A:$A,'games played'!L:L,"xxx")</f>
        <v>0</v>
      </c>
    </row>
    <row r="36" spans="1:9" x14ac:dyDescent="0.2">
      <c r="A36" s="1">
        <v>35</v>
      </c>
      <c r="B36" s="1">
        <f>_xlfn.XLOOKUP($C36,mlb_ids!E:E,mlb_ids!A:A,"xxx")</f>
        <v>681624</v>
      </c>
      <c r="C36" s="11" t="s">
        <v>30</v>
      </c>
      <c r="D36" s="2" t="s">
        <v>30</v>
      </c>
      <c r="E36" s="2" t="s">
        <v>30</v>
      </c>
      <c r="F36" s="10" t="s">
        <v>2201</v>
      </c>
      <c r="G36" s="10">
        <v>17</v>
      </c>
      <c r="H36" s="10" t="str">
        <f>_xlfn.XLOOKUP($E36,'games played'!$A:$A,'games played'!K:K,"xxx")</f>
        <v>CF</v>
      </c>
      <c r="I36" s="10" t="b">
        <f>_xlfn.XLOOKUP($E36,'games played'!$A:$A,'games played'!L:L,"xxx")</f>
        <v>0</v>
      </c>
    </row>
    <row r="37" spans="1:9" x14ac:dyDescent="0.2">
      <c r="A37" s="1">
        <v>36</v>
      </c>
      <c r="B37" s="1">
        <f>_xlfn.XLOOKUP($C37,mlb_ids!E:E,mlb_ids!A:A,"xxx")</f>
        <v>606466</v>
      </c>
      <c r="C37" s="11" t="s">
        <v>460</v>
      </c>
      <c r="D37" s="2" t="s">
        <v>460</v>
      </c>
      <c r="E37" s="2" t="s">
        <v>460</v>
      </c>
      <c r="F37" s="10" t="s">
        <v>2215</v>
      </c>
      <c r="G37" s="10">
        <v>17</v>
      </c>
      <c r="H37" s="10" t="str">
        <f>_xlfn.XLOOKUP($E37,'games played'!$A:$A,'games played'!K:K,"xxx")</f>
        <v>2B</v>
      </c>
      <c r="I37" s="10" t="b">
        <f>_xlfn.XLOOKUP($E37,'games played'!$A:$A,'games played'!L:L,"xxx")</f>
        <v>0</v>
      </c>
    </row>
    <row r="38" spans="1:9" x14ac:dyDescent="0.2">
      <c r="A38" s="1">
        <v>37</v>
      </c>
      <c r="B38" s="1">
        <f>_xlfn.XLOOKUP($C38,mlb_ids!E:E,mlb_ids!A:A,"xxx")</f>
        <v>664023</v>
      </c>
      <c r="C38" s="11" t="s">
        <v>461</v>
      </c>
      <c r="D38" s="2" t="s">
        <v>461</v>
      </c>
      <c r="E38" s="2" t="s">
        <v>461</v>
      </c>
      <c r="F38" s="10" t="s">
        <v>2197</v>
      </c>
      <c r="G38" s="10">
        <v>17</v>
      </c>
      <c r="H38" s="10" t="str">
        <f>_xlfn.XLOOKUP($E38,'games played'!$A:$A,'games played'!K:K,"xxx")</f>
        <v>LF</v>
      </c>
      <c r="I38" s="10" t="b">
        <f>_xlfn.XLOOKUP($E38,'games played'!$A:$A,'games played'!L:L,"xxx")</f>
        <v>0</v>
      </c>
    </row>
    <row r="39" spans="1:9" x14ac:dyDescent="0.2">
      <c r="A39" s="1">
        <v>38</v>
      </c>
      <c r="B39" s="1">
        <f>_xlfn.XLOOKUP($C39,mlb_ids!E:E,mlb_ids!A:A,"xxx")</f>
        <v>571970</v>
      </c>
      <c r="C39" s="11" t="s">
        <v>131</v>
      </c>
      <c r="D39" s="2" t="s">
        <v>131</v>
      </c>
      <c r="E39" s="2" t="s">
        <v>131</v>
      </c>
      <c r="F39" s="10" t="s">
        <v>2201</v>
      </c>
      <c r="G39" s="10">
        <v>17</v>
      </c>
      <c r="H39" s="10" t="str">
        <f>_xlfn.XLOOKUP($E39,'games played'!$A:$A,'games played'!K:K,"xxx")</f>
        <v>3B</v>
      </c>
      <c r="I39" s="10" t="b">
        <f>_xlfn.XLOOKUP($E39,'games played'!$A:$A,'games played'!L:L,"xxx")</f>
        <v>0</v>
      </c>
    </row>
    <row r="40" spans="1:9" x14ac:dyDescent="0.2">
      <c r="A40" s="1">
        <v>39</v>
      </c>
      <c r="B40" s="1">
        <f>_xlfn.XLOOKUP($C40,mlb_ids!E:E,mlb_ids!A:A,"xxx")</f>
        <v>678554</v>
      </c>
      <c r="C40" s="11" t="s">
        <v>32</v>
      </c>
      <c r="D40" s="2" t="s">
        <v>32</v>
      </c>
      <c r="E40" s="2" t="s">
        <v>32</v>
      </c>
      <c r="F40" s="10" t="s">
        <v>2195</v>
      </c>
      <c r="G40" s="10">
        <v>17</v>
      </c>
      <c r="H40" s="10" t="str">
        <f>_xlfn.XLOOKUP($E40,'games played'!$A:$A,'games played'!K:K,"xxx")</f>
        <v>3B</v>
      </c>
      <c r="I40" s="10" t="b">
        <f>_xlfn.XLOOKUP($E40,'games played'!$A:$A,'games played'!L:L,"xxx")</f>
        <v>0</v>
      </c>
    </row>
    <row r="41" spans="1:9" x14ac:dyDescent="0.2">
      <c r="A41" s="1">
        <v>40</v>
      </c>
      <c r="B41" s="1">
        <f>_xlfn.XLOOKUP($C41,mlb_ids!E:E,mlb_ids!A:A,"xxx")</f>
        <v>592450</v>
      </c>
      <c r="C41" s="11" t="s">
        <v>33</v>
      </c>
      <c r="D41" s="2" t="s">
        <v>33</v>
      </c>
      <c r="E41" s="2" t="s">
        <v>33</v>
      </c>
      <c r="F41" s="10" t="s">
        <v>2198</v>
      </c>
      <c r="G41" s="10">
        <v>17</v>
      </c>
      <c r="H41" s="10" t="str">
        <f>_xlfn.XLOOKUP($E41,'games played'!$A:$A,'games played'!K:K,"xxx")</f>
        <v>RF</v>
      </c>
      <c r="I41" s="10" t="b">
        <f>_xlfn.XLOOKUP($E41,'games played'!$A:$A,'games played'!L:L,"xxx")</f>
        <v>0</v>
      </c>
    </row>
    <row r="42" spans="1:9" x14ac:dyDescent="0.2">
      <c r="A42" s="1">
        <v>41</v>
      </c>
      <c r="B42" s="1">
        <f>_xlfn.XLOOKUP($C42,mlb_ids!E:E,mlb_ids!A:A,"xxx")</f>
        <v>669394</v>
      </c>
      <c r="C42" s="11" t="s">
        <v>34</v>
      </c>
      <c r="D42" s="2" t="s">
        <v>34</v>
      </c>
      <c r="E42" s="2" t="s">
        <v>34</v>
      </c>
      <c r="F42" s="10" t="s">
        <v>2223</v>
      </c>
      <c r="G42" s="10">
        <v>16</v>
      </c>
      <c r="H42" s="10" t="str">
        <f>_xlfn.XLOOKUP($E42,'games played'!$A:$A,'games played'!K:K,"xxx")</f>
        <v>1B</v>
      </c>
      <c r="I42" s="10" t="b">
        <f>_xlfn.XLOOKUP($E42,'games played'!$A:$A,'games played'!L:L,"xxx")</f>
        <v>0</v>
      </c>
    </row>
    <row r="43" spans="1:9" x14ac:dyDescent="0.2">
      <c r="A43" s="1">
        <v>42</v>
      </c>
      <c r="B43" s="1">
        <f>_xlfn.XLOOKUP($C43,mlb_ids!E:E,mlb_ids!A:A,"xxx")</f>
        <v>679529</v>
      </c>
      <c r="C43" s="11" t="s">
        <v>35</v>
      </c>
      <c r="D43" s="2" t="s">
        <v>35</v>
      </c>
      <c r="E43" s="2" t="s">
        <v>35</v>
      </c>
      <c r="F43" s="10" t="s">
        <v>2217</v>
      </c>
      <c r="G43" s="10">
        <v>16</v>
      </c>
      <c r="H43" s="10" t="str">
        <f>_xlfn.XLOOKUP($E43,'games played'!$A:$A,'games played'!K:K,"xxx")</f>
        <v>1B</v>
      </c>
      <c r="I43" s="10" t="b">
        <f>_xlfn.XLOOKUP($E43,'games played'!$A:$A,'games played'!L:L,"xxx")</f>
        <v>0</v>
      </c>
    </row>
    <row r="44" spans="1:9" x14ac:dyDescent="0.2">
      <c r="A44" s="1">
        <v>43</v>
      </c>
      <c r="B44" s="1">
        <f>_xlfn.XLOOKUP($C44,mlb_ids!E:E,mlb_ids!A:A,"xxx")</f>
        <v>621020</v>
      </c>
      <c r="C44" s="11" t="s">
        <v>36</v>
      </c>
      <c r="D44" s="2" t="s">
        <v>36</v>
      </c>
      <c r="E44" s="2" t="s">
        <v>36</v>
      </c>
      <c r="F44" s="10" t="s">
        <v>2197</v>
      </c>
      <c r="G44" s="10">
        <v>16</v>
      </c>
      <c r="H44" s="10" t="str">
        <f>_xlfn.XLOOKUP($E44,'games played'!$A:$A,'games played'!K:K,"xxx")</f>
        <v>SS</v>
      </c>
      <c r="I44" s="10" t="b">
        <f>_xlfn.XLOOKUP($E44,'games played'!$A:$A,'games played'!L:L,"xxx")</f>
        <v>0</v>
      </c>
    </row>
    <row r="45" spans="1:9" x14ac:dyDescent="0.2">
      <c r="A45" s="1">
        <v>44</v>
      </c>
      <c r="B45" s="1">
        <f>_xlfn.XLOOKUP($C45,mlb_ids!E:E,mlb_ids!A:A,"xxx")</f>
        <v>671739</v>
      </c>
      <c r="C45" s="11" t="s">
        <v>294</v>
      </c>
      <c r="D45" s="2" t="s">
        <v>294</v>
      </c>
      <c r="E45" s="2" t="s">
        <v>577</v>
      </c>
      <c r="F45" s="10" t="s">
        <v>2207</v>
      </c>
      <c r="G45" s="10">
        <v>16</v>
      </c>
      <c r="H45" s="10" t="str">
        <f>_xlfn.XLOOKUP($E45,'games played'!$A:$A,'games played'!K:K,"xxx")</f>
        <v>CF</v>
      </c>
      <c r="I45" s="10" t="b">
        <f>_xlfn.XLOOKUP($E45,'games played'!$A:$A,'games played'!L:L,"xxx")</f>
        <v>0</v>
      </c>
    </row>
    <row r="46" spans="1:9" x14ac:dyDescent="0.2">
      <c r="A46" s="1">
        <v>45</v>
      </c>
      <c r="B46" s="1">
        <f>_xlfn.XLOOKUP($C46,mlb_ids!E:E,mlb_ids!A:A,"xxx")</f>
        <v>656811</v>
      </c>
      <c r="C46" s="11" t="s">
        <v>295</v>
      </c>
      <c r="D46" s="2" t="s">
        <v>295</v>
      </c>
      <c r="E46" s="2" t="s">
        <v>295</v>
      </c>
      <c r="F46" s="10" t="s">
        <v>2203</v>
      </c>
      <c r="G46" s="10">
        <v>16</v>
      </c>
      <c r="H46" s="10" t="str">
        <f>_xlfn.XLOOKUP($E46,'games played'!$A:$A,'games played'!K:K,"xxx")</f>
        <v>RF</v>
      </c>
      <c r="I46" s="10" t="b">
        <f>_xlfn.XLOOKUP($E46,'games played'!$A:$A,'games played'!L:L,"xxx")</f>
        <v>0</v>
      </c>
    </row>
    <row r="47" spans="1:9" x14ac:dyDescent="0.2">
      <c r="A47" s="1">
        <v>46</v>
      </c>
      <c r="B47" s="1">
        <f>_xlfn.XLOOKUP($C47,mlb_ids!E:E,mlb_ids!A:A,"xxx")</f>
        <v>665019</v>
      </c>
      <c r="C47" s="11" t="s">
        <v>296</v>
      </c>
      <c r="D47" s="2" t="s">
        <v>296</v>
      </c>
      <c r="E47" s="2" t="s">
        <v>296</v>
      </c>
      <c r="F47" s="10" t="s">
        <v>2218</v>
      </c>
      <c r="G47" s="10">
        <v>16</v>
      </c>
      <c r="H47" s="10" t="str">
        <f>_xlfn.XLOOKUP($E47,'games played'!$A:$A,'games played'!K:K,"xxx")</f>
        <v>1B</v>
      </c>
      <c r="I47" s="10" t="b">
        <f>_xlfn.XLOOKUP($E47,'games played'!$A:$A,'games played'!L:L,"xxx")</f>
        <v>0</v>
      </c>
    </row>
    <row r="48" spans="1:9" x14ac:dyDescent="0.2">
      <c r="A48" s="1">
        <v>47</v>
      </c>
      <c r="B48" s="1">
        <f>_xlfn.XLOOKUP($C48,mlb_ids!E:E,mlb_ids!A:A,"xxx")</f>
        <v>694212</v>
      </c>
      <c r="C48" s="11" t="s">
        <v>297</v>
      </c>
      <c r="D48" s="2" t="s">
        <v>297</v>
      </c>
      <c r="E48" s="2" t="s">
        <v>297</v>
      </c>
      <c r="F48" s="10" t="s">
        <v>2212</v>
      </c>
      <c r="G48" s="10">
        <v>16</v>
      </c>
      <c r="H48" s="10" t="str">
        <f>_xlfn.XLOOKUP($E48,'games played'!$A:$A,'games played'!K:K,"xxx")</f>
        <v>C</v>
      </c>
      <c r="I48" s="10" t="b">
        <f>_xlfn.XLOOKUP($E48,'games played'!$A:$A,'games played'!L:L,"xxx")</f>
        <v>0</v>
      </c>
    </row>
    <row r="49" spans="1:9" x14ac:dyDescent="0.2">
      <c r="A49" s="1">
        <v>48</v>
      </c>
      <c r="B49" s="1">
        <f>_xlfn.XLOOKUP($C49,mlb_ids!E:E,mlb_ids!A:A,"xxx")</f>
        <v>668709</v>
      </c>
      <c r="C49" s="11" t="s">
        <v>298</v>
      </c>
      <c r="D49" s="2" t="s">
        <v>298</v>
      </c>
      <c r="E49" s="2" t="s">
        <v>298</v>
      </c>
      <c r="F49" s="10" t="s">
        <v>2208</v>
      </c>
      <c r="G49" s="10">
        <v>16</v>
      </c>
      <c r="H49" s="10" t="str">
        <f>_xlfn.XLOOKUP($E49,'games played'!$A:$A,'games played'!K:K,"xxx")</f>
        <v>LF</v>
      </c>
      <c r="I49" s="10" t="b">
        <f>_xlfn.XLOOKUP($E49,'games played'!$A:$A,'games played'!L:L,"xxx")</f>
        <v>0</v>
      </c>
    </row>
    <row r="50" spans="1:9" x14ac:dyDescent="0.2">
      <c r="A50" s="1">
        <v>49</v>
      </c>
      <c r="B50" s="1">
        <f>_xlfn.XLOOKUP($C50,mlb_ids!E:E,mlb_ids!A:A,"xxx")</f>
        <v>518692</v>
      </c>
      <c r="C50" s="11" t="s">
        <v>299</v>
      </c>
      <c r="D50" s="2" t="s">
        <v>299</v>
      </c>
      <c r="E50" s="2" t="s">
        <v>299</v>
      </c>
      <c r="F50" s="10" t="s">
        <v>2201</v>
      </c>
      <c r="G50" s="10">
        <v>15</v>
      </c>
      <c r="H50" s="10" t="str">
        <f>_xlfn.XLOOKUP($E50,'games played'!$A:$A,'games played'!K:K,"xxx")</f>
        <v>1B</v>
      </c>
      <c r="I50" s="10" t="b">
        <f>_xlfn.XLOOKUP($E50,'games played'!$A:$A,'games played'!L:L,"xxx")</f>
        <v>0</v>
      </c>
    </row>
    <row r="51" spans="1:9" x14ac:dyDescent="0.2">
      <c r="A51" s="1">
        <v>50</v>
      </c>
      <c r="B51" s="1">
        <f>_xlfn.XLOOKUP($C51,mlb_ids!E:E,mlb_ids!A:A,"xxx")</f>
        <v>676475</v>
      </c>
      <c r="C51" s="11" t="s">
        <v>300</v>
      </c>
      <c r="D51" s="2" t="s">
        <v>300</v>
      </c>
      <c r="E51" s="2" t="s">
        <v>300</v>
      </c>
      <c r="F51" s="10" t="s">
        <v>2199</v>
      </c>
      <c r="G51" s="10">
        <v>15</v>
      </c>
      <c r="H51" s="10" t="str">
        <f>_xlfn.XLOOKUP($E51,'games played'!$A:$A,'games played'!K:K,"xxx")</f>
        <v>1B</v>
      </c>
      <c r="I51" s="10" t="b">
        <f>_xlfn.XLOOKUP($E51,'games played'!$A:$A,'games played'!L:L,"xxx")</f>
        <v>0</v>
      </c>
    </row>
    <row r="52" spans="1:9" x14ac:dyDescent="0.2">
      <c r="A52" s="1">
        <v>51</v>
      </c>
      <c r="B52" s="1">
        <f>_xlfn.XLOOKUP($C52,mlb_ids!E:E,mlb_ids!A:A,"xxx")</f>
        <v>642715</v>
      </c>
      <c r="C52" s="11" t="s">
        <v>37</v>
      </c>
      <c r="D52" s="2" t="s">
        <v>37</v>
      </c>
      <c r="E52" s="2" t="s">
        <v>37</v>
      </c>
      <c r="F52" s="10" t="s">
        <v>2221</v>
      </c>
      <c r="G52" s="10">
        <v>15</v>
      </c>
      <c r="H52" s="10" t="str">
        <f>_xlfn.XLOOKUP($E52,'games played'!$A:$A,'games played'!K:K,"xxx")</f>
        <v>SS</v>
      </c>
      <c r="I52" s="10" t="b">
        <f>_xlfn.XLOOKUP($E52,'games played'!$A:$A,'games played'!L:L,"xxx")</f>
        <v>0</v>
      </c>
    </row>
    <row r="53" spans="1:9" x14ac:dyDescent="0.2">
      <c r="A53" s="1">
        <v>52</v>
      </c>
      <c r="B53" s="1">
        <f>_xlfn.XLOOKUP($C53,mlb_ids!E:E,mlb_ids!A:A,"xxx")</f>
        <v>669016</v>
      </c>
      <c r="C53" s="11" t="s">
        <v>301</v>
      </c>
      <c r="D53" s="2" t="s">
        <v>301</v>
      </c>
      <c r="E53" s="2" t="s">
        <v>301</v>
      </c>
      <c r="F53" s="10" t="s">
        <v>2202</v>
      </c>
      <c r="G53" s="10">
        <v>15</v>
      </c>
      <c r="H53" s="10" t="str">
        <f>_xlfn.XLOOKUP($E53,'games played'!$A:$A,'games played'!K:K,"xxx")</f>
        <v>LF</v>
      </c>
      <c r="I53" s="10" t="b">
        <f>_xlfn.XLOOKUP($E53,'games played'!$A:$A,'games played'!L:L,"xxx")</f>
        <v>0</v>
      </c>
    </row>
    <row r="54" spans="1:9" x14ac:dyDescent="0.2">
      <c r="A54" s="1">
        <v>53</v>
      </c>
      <c r="B54" s="1">
        <f>_xlfn.XLOOKUP($C54,mlb_ids!E:E,mlb_ids!A:A,"xxx")</f>
        <v>695506</v>
      </c>
      <c r="C54" s="11" t="s">
        <v>302</v>
      </c>
      <c r="D54" s="2" t="s">
        <v>302</v>
      </c>
      <c r="E54" s="2" t="s">
        <v>302</v>
      </c>
      <c r="F54" s="10" t="s">
        <v>2209</v>
      </c>
      <c r="G54" s="10">
        <v>15</v>
      </c>
      <c r="H54" s="10" t="str">
        <f>_xlfn.XLOOKUP($E54,'games played'!$A:$A,'games played'!K:K,"xxx")</f>
        <v>RF</v>
      </c>
      <c r="I54" s="10" t="b">
        <f>_xlfn.XLOOKUP($E54,'games played'!$A:$A,'games played'!L:L,"xxx")</f>
        <v>0</v>
      </c>
    </row>
    <row r="55" spans="1:9" x14ac:dyDescent="0.2">
      <c r="A55" s="1">
        <v>54</v>
      </c>
      <c r="B55" s="1">
        <f>_xlfn.XLOOKUP($C55,mlb_ids!E:E,mlb_ids!A:A,"xxx")</f>
        <v>673548</v>
      </c>
      <c r="C55" s="11" t="s">
        <v>38</v>
      </c>
      <c r="D55" s="2" t="s">
        <v>38</v>
      </c>
      <c r="E55" s="2" t="s">
        <v>38</v>
      </c>
      <c r="F55" s="10" t="s">
        <v>2197</v>
      </c>
      <c r="G55" s="10">
        <v>15</v>
      </c>
      <c r="H55" s="10" t="str">
        <f>_xlfn.XLOOKUP($E55,'games played'!$A:$A,'games played'!K:K,"xxx")</f>
        <v>RF</v>
      </c>
      <c r="I55" s="10" t="b">
        <f>_xlfn.XLOOKUP($E55,'games played'!$A:$A,'games played'!L:L,"xxx")</f>
        <v>0</v>
      </c>
    </row>
    <row r="56" spans="1:9" x14ac:dyDescent="0.2">
      <c r="A56" s="1">
        <v>55</v>
      </c>
      <c r="B56" s="1">
        <f>_xlfn.XLOOKUP($C56,mlb_ids!E:E,mlb_ids!A:A,"xxx")</f>
        <v>682829</v>
      </c>
      <c r="C56" s="11" t="s">
        <v>462</v>
      </c>
      <c r="D56" s="2" t="s">
        <v>462</v>
      </c>
      <c r="E56" s="2" t="s">
        <v>462</v>
      </c>
      <c r="F56" s="10" t="s">
        <v>2208</v>
      </c>
      <c r="G56" s="10">
        <v>15</v>
      </c>
      <c r="H56" s="10" t="str">
        <f>_xlfn.XLOOKUP($E56,'games played'!$A:$A,'games played'!K:K,"xxx")</f>
        <v>SS</v>
      </c>
      <c r="I56" s="10" t="b">
        <f>_xlfn.XLOOKUP($E56,'games played'!$A:$A,'games played'!L:L,"xxx")</f>
        <v>0</v>
      </c>
    </row>
    <row r="57" spans="1:9" x14ac:dyDescent="0.2">
      <c r="A57" s="1">
        <v>56</v>
      </c>
      <c r="B57" s="1">
        <f>_xlfn.XLOOKUP($C57,mlb_ids!E:E,mlb_ids!A:A,"xxx")</f>
        <v>686948</v>
      </c>
      <c r="C57" s="11" t="s">
        <v>303</v>
      </c>
      <c r="D57" s="2" t="s">
        <v>303</v>
      </c>
      <c r="E57" s="2" t="s">
        <v>303</v>
      </c>
      <c r="F57" s="10" t="s">
        <v>2207</v>
      </c>
      <c r="G57" s="10">
        <v>15</v>
      </c>
      <c r="H57" s="10" t="str">
        <f>_xlfn.XLOOKUP($E57,'games played'!$A:$A,'games played'!K:K,"xxx")</f>
        <v>C</v>
      </c>
      <c r="I57" s="10" t="b">
        <f>_xlfn.XLOOKUP($E57,'games played'!$A:$A,'games played'!L:L,"xxx")</f>
        <v>0</v>
      </c>
    </row>
    <row r="58" spans="1:9" x14ac:dyDescent="0.2">
      <c r="A58" s="1">
        <v>57</v>
      </c>
      <c r="B58" s="1">
        <f>_xlfn.XLOOKUP($C58,mlb_ids!E:E,mlb_ids!A:A,"xxx")</f>
        <v>592626</v>
      </c>
      <c r="C58" s="11" t="s">
        <v>304</v>
      </c>
      <c r="D58" s="2" t="s">
        <v>304</v>
      </c>
      <c r="E58" s="2" t="s">
        <v>304</v>
      </c>
      <c r="F58" s="10" t="s">
        <v>2223</v>
      </c>
      <c r="G58" s="10">
        <v>15</v>
      </c>
      <c r="H58" s="10" t="str">
        <f>_xlfn.XLOOKUP($E58,'games played'!$A:$A,'games played'!K:K,"xxx")</f>
        <v>DH</v>
      </c>
      <c r="I58" s="10" t="b">
        <f>_xlfn.XLOOKUP($E58,'games played'!$A:$A,'games played'!L:L,"xxx")</f>
        <v>0</v>
      </c>
    </row>
    <row r="59" spans="1:9" x14ac:dyDescent="0.2">
      <c r="A59" s="1">
        <v>58</v>
      </c>
      <c r="B59" s="1">
        <f>_xlfn.XLOOKUP($C59,mlb_ids!E:E,mlb_ids!A:A,"xxx")</f>
        <v>502671</v>
      </c>
      <c r="C59" s="11" t="s">
        <v>39</v>
      </c>
      <c r="D59" s="2" t="s">
        <v>39</v>
      </c>
      <c r="E59" s="2" t="s">
        <v>39</v>
      </c>
      <c r="F59" s="10" t="s">
        <v>2198</v>
      </c>
      <c r="G59" s="10">
        <v>15</v>
      </c>
      <c r="H59" s="10" t="str">
        <f>_xlfn.XLOOKUP($E59,'games played'!$A:$A,'games played'!K:K,"xxx")</f>
        <v>1B</v>
      </c>
      <c r="I59" s="10" t="b">
        <f>_xlfn.XLOOKUP($E59,'games played'!$A:$A,'games played'!L:L,"xxx")</f>
        <v>0</v>
      </c>
    </row>
    <row r="60" spans="1:9" x14ac:dyDescent="0.2">
      <c r="A60" s="1">
        <v>59</v>
      </c>
      <c r="B60" s="1">
        <f>_xlfn.XLOOKUP($C60,mlb_ids!E:E,mlb_ids!A:A,"xxx")</f>
        <v>686527</v>
      </c>
      <c r="C60" s="11" t="s">
        <v>305</v>
      </c>
      <c r="D60" s="2" t="s">
        <v>305</v>
      </c>
      <c r="E60" s="2" t="s">
        <v>305</v>
      </c>
      <c r="F60" s="10" t="s">
        <v>2213</v>
      </c>
      <c r="G60" s="10">
        <v>15</v>
      </c>
      <c r="H60" s="10" t="str">
        <f>_xlfn.XLOOKUP($E60,'games played'!$A:$A,'games played'!K:K,"xxx")</f>
        <v>DH</v>
      </c>
      <c r="I60" s="10" t="b">
        <f>_xlfn.XLOOKUP($E60,'games played'!$A:$A,'games played'!L:L,"xxx")</f>
        <v>0</v>
      </c>
    </row>
    <row r="61" spans="1:9" x14ac:dyDescent="0.2">
      <c r="A61" s="1">
        <v>60</v>
      </c>
      <c r="B61" s="1">
        <f>_xlfn.XLOOKUP($C61,mlb_ids!E:E,mlb_ids!A:A,"xxx")</f>
        <v>666160</v>
      </c>
      <c r="C61" s="11" t="s">
        <v>306</v>
      </c>
      <c r="D61" s="2" t="s">
        <v>306</v>
      </c>
      <c r="E61" s="2" t="s">
        <v>306</v>
      </c>
      <c r="F61" s="10" t="s">
        <v>2214</v>
      </c>
      <c r="G61" s="10">
        <v>15</v>
      </c>
      <c r="H61" s="10" t="str">
        <f>_xlfn.XLOOKUP($E61,'games played'!$A:$A,'games played'!K:K,"xxx")</f>
        <v>LF</v>
      </c>
      <c r="I61" s="10" t="b">
        <f>_xlfn.XLOOKUP($E61,'games played'!$A:$A,'games played'!L:L,"xxx")</f>
        <v>0</v>
      </c>
    </row>
    <row r="62" spans="1:9" x14ac:dyDescent="0.2">
      <c r="A62" s="1">
        <v>61</v>
      </c>
      <c r="B62" s="1">
        <f>_xlfn.XLOOKUP($C62,mlb_ids!E:E,mlb_ids!A:A,"xxx")</f>
        <v>668804</v>
      </c>
      <c r="C62" s="11" t="s">
        <v>463</v>
      </c>
      <c r="D62" s="2" t="s">
        <v>463</v>
      </c>
      <c r="E62" s="2" t="s">
        <v>463</v>
      </c>
      <c r="F62" s="10" t="s">
        <v>2203</v>
      </c>
      <c r="G62" s="10">
        <v>14</v>
      </c>
      <c r="H62" s="10" t="str">
        <f>_xlfn.XLOOKUP($E62,'games played'!$A:$A,'games played'!K:K,"xxx")</f>
        <v>LF</v>
      </c>
      <c r="I62" s="10" t="b">
        <f>_xlfn.XLOOKUP($E62,'games played'!$A:$A,'games played'!L:L,"xxx")</f>
        <v>0</v>
      </c>
    </row>
    <row r="63" spans="1:9" x14ac:dyDescent="0.2">
      <c r="A63" s="1">
        <v>62</v>
      </c>
      <c r="B63" s="1">
        <f>_xlfn.XLOOKUP($C63,mlb_ids!E:E,mlb_ids!A:A,"xxx")</f>
        <v>668930</v>
      </c>
      <c r="C63" s="11" t="s">
        <v>307</v>
      </c>
      <c r="D63" s="2" t="s">
        <v>307</v>
      </c>
      <c r="E63" s="2" t="s">
        <v>307</v>
      </c>
      <c r="F63" s="10" t="s">
        <v>2204</v>
      </c>
      <c r="G63" s="10">
        <v>14</v>
      </c>
      <c r="H63" s="10" t="str">
        <f>_xlfn.XLOOKUP($E63,'games played'!$A:$A,'games played'!K:K,"xxx")</f>
        <v>2B</v>
      </c>
      <c r="I63" s="10" t="b">
        <f>_xlfn.XLOOKUP($E63,'games played'!$A:$A,'games played'!L:L,"xxx")</f>
        <v>0</v>
      </c>
    </row>
    <row r="64" spans="1:9" x14ac:dyDescent="0.2">
      <c r="A64" s="1">
        <v>63</v>
      </c>
      <c r="B64" s="1">
        <f>_xlfn.XLOOKUP($C64,mlb_ids!E:E,mlb_ids!A:A,"xxx")</f>
        <v>645277</v>
      </c>
      <c r="C64" s="11" t="s">
        <v>464</v>
      </c>
      <c r="D64" s="2" t="s">
        <v>464</v>
      </c>
      <c r="E64" s="2" t="s">
        <v>464</v>
      </c>
      <c r="F64" s="10" t="s">
        <v>2207</v>
      </c>
      <c r="G64" s="10">
        <v>14</v>
      </c>
      <c r="H64" s="10" t="str">
        <f>_xlfn.XLOOKUP($E64,'games played'!$A:$A,'games played'!K:K,"xxx")</f>
        <v>2B</v>
      </c>
      <c r="I64" s="10" t="b">
        <f>_xlfn.XLOOKUP($E64,'games played'!$A:$A,'games played'!L:L,"xxx")</f>
        <v>0</v>
      </c>
    </row>
    <row r="65" spans="1:9" x14ac:dyDescent="0.2">
      <c r="A65" s="1">
        <v>64</v>
      </c>
      <c r="B65" s="1">
        <f>_xlfn.XLOOKUP($C65,mlb_ids!E:E,mlb_ids!A:A,"xxx")</f>
        <v>666018</v>
      </c>
      <c r="C65" s="11" t="s">
        <v>308</v>
      </c>
      <c r="D65" s="2" t="s">
        <v>308</v>
      </c>
      <c r="E65" s="2" t="s">
        <v>308</v>
      </c>
      <c r="F65" s="10" t="s">
        <v>2205</v>
      </c>
      <c r="G65" s="10">
        <v>14</v>
      </c>
      <c r="H65" s="10" t="str">
        <f>_xlfn.XLOOKUP($E65,'games played'!$A:$A,'games played'!K:K,"xxx")</f>
        <v>1B</v>
      </c>
      <c r="I65" s="10" t="b">
        <f>_xlfn.XLOOKUP($E65,'games played'!$A:$A,'games played'!L:L,"xxx")</f>
        <v>0</v>
      </c>
    </row>
    <row r="66" spans="1:9" x14ac:dyDescent="0.2">
      <c r="A66" s="1">
        <v>65</v>
      </c>
      <c r="B66" s="1">
        <f>_xlfn.XLOOKUP($C66,mlb_ids!E:E,mlb_ids!A:A,"xxx")</f>
        <v>677594</v>
      </c>
      <c r="C66" s="11" t="s">
        <v>40</v>
      </c>
      <c r="D66" s="2" t="s">
        <v>40</v>
      </c>
      <c r="E66" s="2" t="s">
        <v>655</v>
      </c>
      <c r="F66" s="10" t="s">
        <v>2213</v>
      </c>
      <c r="G66" s="10">
        <v>14</v>
      </c>
      <c r="H66" s="10" t="str">
        <f>_xlfn.XLOOKUP($E66,'games played'!$A:$A,'games played'!K:K,"xxx")</f>
        <v>CF</v>
      </c>
      <c r="I66" s="10" t="b">
        <f>_xlfn.XLOOKUP($E66,'games played'!$A:$A,'games played'!L:L,"xxx")</f>
        <v>0</v>
      </c>
    </row>
    <row r="67" spans="1:9" x14ac:dyDescent="0.2">
      <c r="A67" s="1">
        <v>66</v>
      </c>
      <c r="B67" s="1">
        <f>_xlfn.XLOOKUP($C67,mlb_ids!E:E,mlb_ids!A:A,"xxx")</f>
        <v>686797</v>
      </c>
      <c r="C67" s="11" t="s">
        <v>465</v>
      </c>
      <c r="D67" s="2" t="s">
        <v>465</v>
      </c>
      <c r="E67" s="2" t="s">
        <v>465</v>
      </c>
      <c r="F67" s="10" t="s">
        <v>2218</v>
      </c>
      <c r="G67" s="10">
        <v>14</v>
      </c>
      <c r="H67" s="10" t="str">
        <f>_xlfn.XLOOKUP($E67,'games played'!$A:$A,'games played'!K:K,"xxx")</f>
        <v>3B</v>
      </c>
      <c r="I67" s="10" t="b">
        <f>_xlfn.XLOOKUP($E67,'games played'!$A:$A,'games played'!L:L,"xxx")</f>
        <v>0</v>
      </c>
    </row>
    <row r="68" spans="1:9" x14ac:dyDescent="0.2">
      <c r="A68" s="1">
        <v>67</v>
      </c>
      <c r="B68" s="1">
        <f>_xlfn.XLOOKUP($C68,mlb_ids!E:E,mlb_ids!A:A,"xxx")</f>
        <v>668715</v>
      </c>
      <c r="C68" s="11" t="s">
        <v>41</v>
      </c>
      <c r="D68" s="2" t="s">
        <v>41</v>
      </c>
      <c r="E68" s="2" t="s">
        <v>41</v>
      </c>
      <c r="F68" s="10" t="s">
        <v>2208</v>
      </c>
      <c r="G68" s="10">
        <v>14</v>
      </c>
      <c r="H68" s="10" t="str">
        <f>_xlfn.XLOOKUP($E68,'games played'!$A:$A,'games played'!K:K,"xxx")</f>
        <v>1B</v>
      </c>
      <c r="I68" s="10" t="b">
        <f>_xlfn.XLOOKUP($E68,'games played'!$A:$A,'games played'!L:L,"xxx")</f>
        <v>0</v>
      </c>
    </row>
    <row r="69" spans="1:9" x14ac:dyDescent="0.2">
      <c r="A69" s="1">
        <v>68</v>
      </c>
      <c r="B69" s="1">
        <f>_xlfn.XLOOKUP($C69,mlb_ids!E:E,mlb_ids!A:A,"xxx")</f>
        <v>691016</v>
      </c>
      <c r="C69" s="11" t="s">
        <v>309</v>
      </c>
      <c r="D69" s="2" t="s">
        <v>309</v>
      </c>
      <c r="E69" s="2" t="s">
        <v>309</v>
      </c>
      <c r="F69" s="10" t="s">
        <v>2200</v>
      </c>
      <c r="G69" s="10">
        <v>14</v>
      </c>
      <c r="H69" s="10" t="str">
        <f>_xlfn.XLOOKUP($E69,'games played'!$A:$A,'games played'!K:K,"xxx")</f>
        <v>LF</v>
      </c>
      <c r="I69" s="10" t="b">
        <f>_xlfn.XLOOKUP($E69,'games played'!$A:$A,'games played'!L:L,"xxx")</f>
        <v>0</v>
      </c>
    </row>
    <row r="70" spans="1:9" x14ac:dyDescent="0.2">
      <c r="A70" s="1">
        <v>69</v>
      </c>
      <c r="B70" s="1">
        <f>_xlfn.XLOOKUP($C70,mlb_ids!E:E,mlb_ids!A:A,"xxx")</f>
        <v>657757</v>
      </c>
      <c r="C70" s="11" t="s">
        <v>310</v>
      </c>
      <c r="D70" s="2" t="s">
        <v>310</v>
      </c>
      <c r="E70" s="2" t="s">
        <v>310</v>
      </c>
      <c r="F70" s="10" t="s">
        <v>2222</v>
      </c>
      <c r="G70" s="10">
        <v>14</v>
      </c>
      <c r="H70" s="10" t="str">
        <f>_xlfn.XLOOKUP($E70,'games played'!$A:$A,'games played'!K:K,"xxx")</f>
        <v>1B</v>
      </c>
      <c r="I70" s="10" t="b">
        <f>_xlfn.XLOOKUP($E70,'games played'!$A:$A,'games played'!L:L,"xxx")</f>
        <v>0</v>
      </c>
    </row>
    <row r="71" spans="1:9" x14ac:dyDescent="0.2">
      <c r="A71" s="1">
        <v>70</v>
      </c>
      <c r="B71" s="1">
        <f>_xlfn.XLOOKUP($C71,mlb_ids!E:E,mlb_ids!A:A,"xxx")</f>
        <v>665833</v>
      </c>
      <c r="C71" s="11" t="s">
        <v>311</v>
      </c>
      <c r="D71" s="2" t="s">
        <v>311</v>
      </c>
      <c r="E71" s="2" t="s">
        <v>311</v>
      </c>
      <c r="F71" s="10" t="s">
        <v>2203</v>
      </c>
      <c r="G71" s="10">
        <v>14</v>
      </c>
      <c r="H71" s="10" t="str">
        <f>_xlfn.XLOOKUP($E71,'games played'!$A:$A,'games played'!K:K,"xxx")</f>
        <v>CF</v>
      </c>
      <c r="I71" s="10" t="b">
        <f>_xlfn.XLOOKUP($E71,'games played'!$A:$A,'games played'!L:L,"xxx")</f>
        <v>0</v>
      </c>
    </row>
    <row r="72" spans="1:9" x14ac:dyDescent="0.2">
      <c r="A72" s="1">
        <v>71</v>
      </c>
      <c r="B72" s="1">
        <f>_xlfn.XLOOKUP($C72,mlb_ids!E:E,mlb_ids!A:A,"xxx")</f>
        <v>670042</v>
      </c>
      <c r="C72" s="11" t="s">
        <v>312</v>
      </c>
      <c r="D72" s="2" t="s">
        <v>312</v>
      </c>
      <c r="E72" s="2" t="s">
        <v>312</v>
      </c>
      <c r="F72" s="10" t="s">
        <v>2213</v>
      </c>
      <c r="G72" s="10">
        <v>14</v>
      </c>
      <c r="H72" s="10" t="str">
        <f>_xlfn.XLOOKUP($E72,'games played'!$A:$A,'games played'!K:K,"xxx")</f>
        <v>RF</v>
      </c>
      <c r="I72" s="10" t="b">
        <f>_xlfn.XLOOKUP($E72,'games played'!$A:$A,'games played'!L:L,"xxx")</f>
        <v>0</v>
      </c>
    </row>
    <row r="73" spans="1:9" x14ac:dyDescent="0.2">
      <c r="A73" s="1">
        <v>72</v>
      </c>
      <c r="B73" s="1">
        <f>_xlfn.XLOOKUP($C73,mlb_ids!E:E,mlb_ids!A:A,"xxx")</f>
        <v>802139</v>
      </c>
      <c r="C73" s="11" t="s">
        <v>313</v>
      </c>
      <c r="D73" s="2" t="s">
        <v>313</v>
      </c>
      <c r="E73" s="2" t="s">
        <v>313</v>
      </c>
      <c r="F73" s="10" t="s">
        <v>2199</v>
      </c>
      <c r="G73" s="10">
        <v>13</v>
      </c>
      <c r="H73" s="10" t="str">
        <f>_xlfn.XLOOKUP($E73,'games played'!$A:$A,'games played'!K:K,"xxx")</f>
        <v>2B</v>
      </c>
      <c r="I73" s="10" t="b">
        <f>_xlfn.XLOOKUP($E73,'games played'!$A:$A,'games played'!L:L,"xxx")</f>
        <v>0</v>
      </c>
    </row>
    <row r="74" spans="1:9" x14ac:dyDescent="0.2">
      <c r="A74" s="1">
        <v>73</v>
      </c>
      <c r="B74" s="1">
        <f>_xlfn.XLOOKUP($C74,mlb_ids!E:E,mlb_ids!A:A,"xxx")</f>
        <v>677951</v>
      </c>
      <c r="C74" s="11" t="s">
        <v>42</v>
      </c>
      <c r="D74" s="2" t="s">
        <v>42</v>
      </c>
      <c r="E74" s="2" t="s">
        <v>42</v>
      </c>
      <c r="F74" s="10" t="s">
        <v>2209</v>
      </c>
      <c r="G74" s="10">
        <v>13</v>
      </c>
      <c r="H74" s="10" t="str">
        <f>_xlfn.XLOOKUP($E74,'games played'!$A:$A,'games played'!K:K,"xxx")</f>
        <v>SS</v>
      </c>
      <c r="I74" s="10" t="b">
        <f>_xlfn.XLOOKUP($E74,'games played'!$A:$A,'games played'!L:L,"xxx")</f>
        <v>0</v>
      </c>
    </row>
    <row r="75" spans="1:9" x14ac:dyDescent="0.2">
      <c r="A75" s="1">
        <v>74</v>
      </c>
      <c r="B75" s="1">
        <f>_xlfn.XLOOKUP($C75,mlb_ids!E:E,mlb_ids!A:A,"xxx")</f>
        <v>682985</v>
      </c>
      <c r="C75" s="11" t="s">
        <v>314</v>
      </c>
      <c r="D75" s="2" t="s">
        <v>314</v>
      </c>
      <c r="E75" s="2" t="s">
        <v>314</v>
      </c>
      <c r="F75" s="10" t="s">
        <v>2217</v>
      </c>
      <c r="G75" s="10">
        <v>13</v>
      </c>
      <c r="H75" s="10" t="str">
        <f>_xlfn.XLOOKUP($E75,'games played'!$A:$A,'games played'!K:K,"xxx")</f>
        <v>LF</v>
      </c>
      <c r="I75" s="10" t="b">
        <f>_xlfn.XLOOKUP($E75,'games played'!$A:$A,'games played'!L:L,"xxx")</f>
        <v>0</v>
      </c>
    </row>
    <row r="76" spans="1:9" x14ac:dyDescent="0.2">
      <c r="A76" s="1">
        <v>75</v>
      </c>
      <c r="B76" s="1">
        <f>_xlfn.XLOOKUP($C76,mlb_ids!E:E,mlb_ids!A:A,"xxx")</f>
        <v>666176</v>
      </c>
      <c r="C76" s="11" t="s">
        <v>43</v>
      </c>
      <c r="D76" s="2" t="s">
        <v>43</v>
      </c>
      <c r="E76" s="2" t="s">
        <v>43</v>
      </c>
      <c r="F76" s="10" t="s">
        <v>2210</v>
      </c>
      <c r="G76" s="10">
        <v>13</v>
      </c>
      <c r="H76" s="10" t="str">
        <f>_xlfn.XLOOKUP($E76,'games played'!$A:$A,'games played'!K:K,"xxx")</f>
        <v>RF</v>
      </c>
      <c r="I76" s="10" t="b">
        <f>_xlfn.XLOOKUP($E76,'games played'!$A:$A,'games played'!L:L,"xxx")</f>
        <v>0</v>
      </c>
    </row>
    <row r="77" spans="1:9" x14ac:dyDescent="0.2">
      <c r="A77" s="1">
        <v>76</v>
      </c>
      <c r="B77" s="1">
        <f>_xlfn.XLOOKUP($C77,mlb_ids!E:E,mlb_ids!A:A,"xxx")</f>
        <v>682998</v>
      </c>
      <c r="C77" s="11" t="s">
        <v>315</v>
      </c>
      <c r="D77" s="2" t="s">
        <v>315</v>
      </c>
      <c r="E77" s="2" t="s">
        <v>315</v>
      </c>
      <c r="F77" s="10" t="s">
        <v>2215</v>
      </c>
      <c r="G77" s="10">
        <v>13</v>
      </c>
      <c r="H77" s="10" t="str">
        <f>_xlfn.XLOOKUP($E77,'games played'!$A:$A,'games played'!K:K,"xxx")</f>
        <v>RF</v>
      </c>
      <c r="I77" s="10" t="b">
        <f>_xlfn.XLOOKUP($E77,'games played'!$A:$A,'games played'!L:L,"xxx")</f>
        <v>0</v>
      </c>
    </row>
    <row r="78" spans="1:9" x14ac:dyDescent="0.2">
      <c r="A78" s="1">
        <v>77</v>
      </c>
      <c r="B78" s="1">
        <f>_xlfn.XLOOKUP($C78,mlb_ids!E:E,mlb_ids!A:A,"xxx")</f>
        <v>650490</v>
      </c>
      <c r="C78" s="11" t="s">
        <v>44</v>
      </c>
      <c r="D78" s="2" t="s">
        <v>44</v>
      </c>
      <c r="E78" s="2" t="s">
        <v>555</v>
      </c>
      <c r="F78" s="10" t="s">
        <v>2205</v>
      </c>
      <c r="G78" s="10">
        <v>13</v>
      </c>
      <c r="H78" s="10" t="str">
        <f>_xlfn.XLOOKUP($E78,'games played'!$A:$A,'games played'!K:K,"xxx")</f>
        <v>DH</v>
      </c>
      <c r="I78" s="10" t="b">
        <f>_xlfn.XLOOKUP($E78,'games played'!$A:$A,'games played'!L:L,"xxx")</f>
        <v>0</v>
      </c>
    </row>
    <row r="79" spans="1:9" x14ac:dyDescent="0.2">
      <c r="A79" s="1">
        <v>78</v>
      </c>
      <c r="B79" s="1">
        <f>_xlfn.XLOOKUP($C79,mlb_ids!E:E,mlb_ids!A:A,"xxx")</f>
        <v>680776</v>
      </c>
      <c r="C79" s="11" t="s">
        <v>316</v>
      </c>
      <c r="D79" s="2" t="s">
        <v>316</v>
      </c>
      <c r="E79" s="2" t="s">
        <v>316</v>
      </c>
      <c r="F79" s="10" t="s">
        <v>2216</v>
      </c>
      <c r="G79" s="10">
        <v>13</v>
      </c>
      <c r="H79" s="10" t="str">
        <f>_xlfn.XLOOKUP($E79,'games played'!$A:$A,'games played'!K:K,"xxx")</f>
        <v>LF</v>
      </c>
      <c r="I79" s="10" t="b">
        <f>_xlfn.XLOOKUP($E79,'games played'!$A:$A,'games played'!L:L,"xxx")</f>
        <v>0</v>
      </c>
    </row>
    <row r="80" spans="1:9" x14ac:dyDescent="0.2">
      <c r="A80" s="1">
        <v>79</v>
      </c>
      <c r="B80" s="1">
        <f>_xlfn.XLOOKUP($C80,mlb_ids!E:E,mlb_ids!A:A,"xxx")</f>
        <v>605137</v>
      </c>
      <c r="C80" s="11" t="s">
        <v>466</v>
      </c>
      <c r="D80" s="2" t="s">
        <v>466</v>
      </c>
      <c r="E80" s="2" t="s">
        <v>466</v>
      </c>
      <c r="F80" s="10" t="s">
        <v>2218</v>
      </c>
      <c r="G80" s="10">
        <v>13</v>
      </c>
      <c r="H80" s="10" t="str">
        <f>_xlfn.XLOOKUP($E80,'games played'!$A:$A,'games played'!K:K,"xxx")</f>
        <v>DH</v>
      </c>
      <c r="I80" s="10" t="b">
        <f>_xlfn.XLOOKUP($E80,'games played'!$A:$A,'games played'!L:L,"xxx")</f>
        <v>0</v>
      </c>
    </row>
    <row r="81" spans="1:9" x14ac:dyDescent="0.2">
      <c r="A81" s="1">
        <v>80</v>
      </c>
      <c r="B81" s="1">
        <f>_xlfn.XLOOKUP($C81,mlb_ids!E:E,mlb_ids!A:A,"xxx")</f>
        <v>665862</v>
      </c>
      <c r="C81" s="11" t="s">
        <v>317</v>
      </c>
      <c r="D81" s="2" t="s">
        <v>317</v>
      </c>
      <c r="E81" s="2" t="s">
        <v>547</v>
      </c>
      <c r="F81" s="10" t="s">
        <v>2198</v>
      </c>
      <c r="G81" s="10">
        <v>13</v>
      </c>
      <c r="H81" s="10" t="str">
        <f>_xlfn.XLOOKUP($E81,'games played'!$A:$A,'games played'!K:K,"xxx")</f>
        <v>2B</v>
      </c>
      <c r="I81" s="10" t="b">
        <f>_xlfn.XLOOKUP($E81,'games played'!$A:$A,'games played'!L:L,"xxx")</f>
        <v>0</v>
      </c>
    </row>
    <row r="82" spans="1:9" x14ac:dyDescent="0.2">
      <c r="A82" s="1">
        <v>81</v>
      </c>
      <c r="B82" s="1">
        <f>_xlfn.XLOOKUP($C82,mlb_ids!E:E,mlb_ids!A:A,"xxx")</f>
        <v>695600</v>
      </c>
      <c r="C82" s="11" t="s">
        <v>318</v>
      </c>
      <c r="D82" s="2" t="s">
        <v>318</v>
      </c>
      <c r="E82" s="2" t="s">
        <v>318</v>
      </c>
      <c r="F82" s="10" t="s">
        <v>2209</v>
      </c>
      <c r="G82" s="10">
        <v>13</v>
      </c>
      <c r="H82" s="10" t="str">
        <f>_xlfn.XLOOKUP($E82,'games played'!$A:$A,'games played'!K:K,"xxx")</f>
        <v>C</v>
      </c>
      <c r="I82" s="10" t="b">
        <f>_xlfn.XLOOKUP($E82,'games played'!$A:$A,'games played'!L:L,"xxx")</f>
        <v>0</v>
      </c>
    </row>
    <row r="83" spans="1:9" x14ac:dyDescent="0.2">
      <c r="A83" s="1">
        <v>82</v>
      </c>
      <c r="B83" s="1">
        <f>_xlfn.XLOOKUP($C83,mlb_ids!E:E,mlb_ids!A:A,"xxx")</f>
        <v>689414</v>
      </c>
      <c r="C83" s="11" t="s">
        <v>319</v>
      </c>
      <c r="D83" s="2" t="s">
        <v>319</v>
      </c>
      <c r="E83" s="2" t="s">
        <v>319</v>
      </c>
      <c r="F83" s="10" t="s">
        <v>2211</v>
      </c>
      <c r="G83" s="10">
        <v>13</v>
      </c>
      <c r="H83" s="10" t="str">
        <f>_xlfn.XLOOKUP($E83,'games played'!$A:$A,'games played'!K:K,"xxx")</f>
        <v>C</v>
      </c>
      <c r="I83" s="10" t="b">
        <f>_xlfn.XLOOKUP($E83,'games played'!$A:$A,'games played'!L:L,"xxx")</f>
        <v>0</v>
      </c>
    </row>
    <row r="84" spans="1:9" x14ac:dyDescent="0.2">
      <c r="A84" s="1">
        <v>83</v>
      </c>
      <c r="B84" s="1">
        <f>_xlfn.XLOOKUP($C84,mlb_ids!E:E,mlb_ids!A:A,"xxx")</f>
        <v>694192</v>
      </c>
      <c r="C84" s="11" t="s">
        <v>45</v>
      </c>
      <c r="D84" s="2" t="s">
        <v>45</v>
      </c>
      <c r="E84" s="2" t="s">
        <v>45</v>
      </c>
      <c r="F84" s="10" t="s">
        <v>2204</v>
      </c>
      <c r="G84" s="10">
        <v>13</v>
      </c>
      <c r="H84" s="10" t="str">
        <f>_xlfn.XLOOKUP($E84,'games played'!$A:$A,'games played'!K:K,"xxx")</f>
        <v>LF</v>
      </c>
      <c r="I84" s="10" t="b">
        <f>_xlfn.XLOOKUP($E84,'games played'!$A:$A,'games played'!L:L,"xxx")</f>
        <v>0</v>
      </c>
    </row>
    <row r="85" spans="1:9" x14ac:dyDescent="0.2">
      <c r="A85" s="1">
        <v>84</v>
      </c>
      <c r="B85" s="1">
        <f>_xlfn.XLOOKUP($C85,mlb_ids!E:E,mlb_ids!A:A,"xxx")</f>
        <v>681481</v>
      </c>
      <c r="C85" s="11" t="s">
        <v>320</v>
      </c>
      <c r="D85" s="2" t="s">
        <v>320</v>
      </c>
      <c r="E85" s="2" t="s">
        <v>320</v>
      </c>
      <c r="F85" s="10" t="s">
        <v>2217</v>
      </c>
      <c r="G85" s="10">
        <v>13</v>
      </c>
      <c r="H85" s="10" t="str">
        <f>_xlfn.XLOOKUP($E85,'games played'!$A:$A,'games played'!K:K,"xxx")</f>
        <v>RF</v>
      </c>
      <c r="I85" s="10" t="b">
        <f>_xlfn.XLOOKUP($E85,'games played'!$A:$A,'games played'!L:L,"xxx")</f>
        <v>0</v>
      </c>
    </row>
    <row r="86" spans="1:9" x14ac:dyDescent="0.2">
      <c r="A86" s="1">
        <v>85</v>
      </c>
      <c r="B86" s="1">
        <f>_xlfn.XLOOKUP($C86,mlb_ids!E:E,mlb_ids!A:A,"xxx")</f>
        <v>681715</v>
      </c>
      <c r="C86" s="11" t="s">
        <v>46</v>
      </c>
      <c r="D86" s="2" t="s">
        <v>46</v>
      </c>
      <c r="E86" s="2" t="s">
        <v>579</v>
      </c>
      <c r="F86" s="10" t="s">
        <v>2211</v>
      </c>
      <c r="G86" s="10">
        <v>13</v>
      </c>
      <c r="H86" s="10" t="str">
        <f>_xlfn.XLOOKUP($E86,'games played'!$A:$A,'games played'!K:K,"xxx")</f>
        <v>LF</v>
      </c>
      <c r="I86" s="10" t="b">
        <f>_xlfn.XLOOKUP($E86,'games played'!$A:$A,'games played'!L:L,"xxx")</f>
        <v>0</v>
      </c>
    </row>
    <row r="87" spans="1:9" x14ac:dyDescent="0.2">
      <c r="A87" s="1">
        <v>86</v>
      </c>
      <c r="B87" s="1">
        <f>_xlfn.XLOOKUP($C87,mlb_ids!E:E,mlb_ids!A:A,"xxx")</f>
        <v>670623</v>
      </c>
      <c r="C87" s="11" t="s">
        <v>47</v>
      </c>
      <c r="D87" s="2" t="s">
        <v>47</v>
      </c>
      <c r="E87" s="2" t="s">
        <v>47</v>
      </c>
      <c r="F87" s="10" t="s">
        <v>2196</v>
      </c>
      <c r="G87" s="10">
        <v>12</v>
      </c>
      <c r="H87" s="10" t="str">
        <f>_xlfn.XLOOKUP($E87,'games played'!$A:$A,'games played'!K:K,"xxx")</f>
        <v>3B</v>
      </c>
      <c r="I87" s="10" t="b">
        <f>_xlfn.XLOOKUP($E87,'games played'!$A:$A,'games played'!L:L,"xxx")</f>
        <v>0</v>
      </c>
    </row>
    <row r="88" spans="1:9" x14ac:dyDescent="0.2">
      <c r="A88" s="1">
        <v>87</v>
      </c>
      <c r="B88" s="1">
        <f>_xlfn.XLOOKUP($C88,mlb_ids!E:E,mlb_ids!A:A,"xxx")</f>
        <v>681198</v>
      </c>
      <c r="C88" s="11" t="s">
        <v>321</v>
      </c>
      <c r="D88" s="2" t="s">
        <v>321</v>
      </c>
      <c r="E88" s="2" t="s">
        <v>656</v>
      </c>
      <c r="F88" s="10" t="s">
        <v>2214</v>
      </c>
      <c r="G88" s="10">
        <v>12</v>
      </c>
      <c r="H88" s="10" t="str">
        <f>_xlfn.XLOOKUP($E88,'games played'!$A:$A,'games played'!K:K,"xxx")</f>
        <v>1B</v>
      </c>
      <c r="I88" s="10" t="b">
        <f>_xlfn.XLOOKUP($E88,'games played'!$A:$A,'games played'!L:L,"xxx")</f>
        <v>0</v>
      </c>
    </row>
    <row r="89" spans="1:9" x14ac:dyDescent="0.2">
      <c r="A89" s="1">
        <v>88</v>
      </c>
      <c r="B89" s="1">
        <f>_xlfn.XLOOKUP($C89,mlb_ids!E:E,mlb_ids!A:A,"xxx")</f>
        <v>701358</v>
      </c>
      <c r="C89" s="11" t="s">
        <v>48</v>
      </c>
      <c r="D89" s="2" t="s">
        <v>48</v>
      </c>
      <c r="E89" s="2" t="s">
        <v>48</v>
      </c>
      <c r="F89" s="10" t="s">
        <v>2196</v>
      </c>
      <c r="G89" s="10">
        <v>12</v>
      </c>
      <c r="H89" s="10" t="str">
        <f>_xlfn.XLOOKUP($E89,'games played'!$A:$A,'games played'!K:K,"xxx")</f>
        <v>RF</v>
      </c>
      <c r="I89" s="10" t="b">
        <f>_xlfn.XLOOKUP($E89,'games played'!$A:$A,'games played'!L:L,"xxx")</f>
        <v>0</v>
      </c>
    </row>
    <row r="90" spans="1:9" x14ac:dyDescent="0.2">
      <c r="A90" s="1">
        <v>89</v>
      </c>
      <c r="B90" s="1">
        <f>_xlfn.XLOOKUP($C90,mlb_ids!E:E,mlb_ids!A:A,"xxx")</f>
        <v>571448</v>
      </c>
      <c r="C90" s="11" t="s">
        <v>49</v>
      </c>
      <c r="D90" s="2" t="s">
        <v>49</v>
      </c>
      <c r="E90" s="2" t="s">
        <v>49</v>
      </c>
      <c r="F90" s="10" t="s">
        <v>2215</v>
      </c>
      <c r="G90" s="10">
        <v>12</v>
      </c>
      <c r="H90" s="10" t="str">
        <f>_xlfn.XLOOKUP($E90,'games played'!$A:$A,'games played'!K:K,"xxx")</f>
        <v>3B</v>
      </c>
      <c r="I90" s="10" t="b">
        <f>_xlfn.XLOOKUP($E90,'games played'!$A:$A,'games played'!L:L,"xxx")</f>
        <v>0</v>
      </c>
    </row>
    <row r="91" spans="1:9" x14ac:dyDescent="0.2">
      <c r="A91" s="1">
        <v>90</v>
      </c>
      <c r="B91" s="1">
        <f>_xlfn.XLOOKUP($C91,mlb_ids!E:E,mlb_ids!A:A,"xxx")</f>
        <v>669065</v>
      </c>
      <c r="C91" s="11" t="s">
        <v>322</v>
      </c>
      <c r="D91" s="2" t="s">
        <v>322</v>
      </c>
      <c r="E91" s="2" t="s">
        <v>322</v>
      </c>
      <c r="F91" s="10" t="s">
        <v>2211</v>
      </c>
      <c r="G91" s="10">
        <v>12</v>
      </c>
      <c r="H91" s="10" t="str">
        <f>_xlfn.XLOOKUP($E91,'games played'!$A:$A,'games played'!K:K,"xxx")</f>
        <v>LF</v>
      </c>
      <c r="I91" s="10" t="b">
        <f>_xlfn.XLOOKUP($E91,'games played'!$A:$A,'games played'!L:L,"xxx")</f>
        <v>0</v>
      </c>
    </row>
    <row r="92" spans="1:9" x14ac:dyDescent="0.2">
      <c r="A92" s="1">
        <v>91</v>
      </c>
      <c r="B92" s="1">
        <f>_xlfn.XLOOKUP($C92,mlb_ids!E:E,mlb_ids!A:A,"xxx")</f>
        <v>683357</v>
      </c>
      <c r="C92" s="11" t="s">
        <v>323</v>
      </c>
      <c r="D92" s="2" t="s">
        <v>323</v>
      </c>
      <c r="E92" s="2" t="s">
        <v>323</v>
      </c>
      <c r="F92" s="10" t="s">
        <v>2211</v>
      </c>
      <c r="G92" s="10">
        <v>12</v>
      </c>
      <c r="H92" s="10" t="str">
        <f>_xlfn.XLOOKUP($E92,'games played'!$A:$A,'games played'!K:K,"xxx")</f>
        <v>RF</v>
      </c>
      <c r="I92" s="10" t="b">
        <f>_xlfn.XLOOKUP($E92,'games played'!$A:$A,'games played'!L:L,"xxx")</f>
        <v>0</v>
      </c>
    </row>
    <row r="93" spans="1:9" x14ac:dyDescent="0.2">
      <c r="A93" s="1">
        <v>92</v>
      </c>
      <c r="B93" s="1">
        <f>_xlfn.XLOOKUP($C93,mlb_ids!E:E,mlb_ids!A:A,"xxx")</f>
        <v>691723</v>
      </c>
      <c r="C93" s="11" t="s">
        <v>50</v>
      </c>
      <c r="D93" s="2" t="s">
        <v>50</v>
      </c>
      <c r="E93" s="2" t="s">
        <v>50</v>
      </c>
      <c r="F93" s="10" t="s">
        <v>2212</v>
      </c>
      <c r="G93" s="10">
        <v>12</v>
      </c>
      <c r="H93" s="10" t="str">
        <f>_xlfn.XLOOKUP($E93,'games played'!$A:$A,'games played'!K:K,"xxx")</f>
        <v>3B</v>
      </c>
      <c r="I93" s="10" t="b">
        <f>_xlfn.XLOOKUP($E93,'games played'!$A:$A,'games played'!L:L,"xxx")</f>
        <v>0</v>
      </c>
    </row>
    <row r="94" spans="1:9" x14ac:dyDescent="0.2">
      <c r="A94" s="1">
        <v>93</v>
      </c>
      <c r="B94" s="1">
        <f>_xlfn.XLOOKUP($C94,mlb_ids!E:E,mlb_ids!A:A,"xxx")</f>
        <v>683737</v>
      </c>
      <c r="C94" s="11" t="s">
        <v>324</v>
      </c>
      <c r="D94" s="2" t="s">
        <v>324</v>
      </c>
      <c r="E94" s="2" t="s">
        <v>324</v>
      </c>
      <c r="F94" s="10" t="s">
        <v>2197</v>
      </c>
      <c r="G94" s="10">
        <v>11</v>
      </c>
      <c r="H94" s="10" t="str">
        <f>_xlfn.XLOOKUP($E94,'games played'!$A:$A,'games played'!K:K,"xxx")</f>
        <v>1B</v>
      </c>
      <c r="I94" s="10" t="b">
        <f>_xlfn.XLOOKUP($E94,'games played'!$A:$A,'games played'!L:L,"xxx")</f>
        <v>0</v>
      </c>
    </row>
    <row r="95" spans="1:9" x14ac:dyDescent="0.2">
      <c r="A95" s="1">
        <v>94</v>
      </c>
      <c r="B95" s="1">
        <f>_xlfn.XLOOKUP($C95,mlb_ids!E:E,mlb_ids!A:A,"xxx")</f>
        <v>671056</v>
      </c>
      <c r="C95" s="11" t="s">
        <v>51</v>
      </c>
      <c r="D95" s="2" t="s">
        <v>51</v>
      </c>
      <c r="E95" s="2" t="s">
        <v>581</v>
      </c>
      <c r="F95" s="10" t="s">
        <v>2199</v>
      </c>
      <c r="G95" s="10">
        <v>11</v>
      </c>
      <c r="H95" s="10" t="str">
        <f>_xlfn.XLOOKUP($E95,'games played'!$A:$A,'games played'!K:K,"xxx")</f>
        <v>DH</v>
      </c>
      <c r="I95" s="10" t="b">
        <f>_xlfn.XLOOKUP($E95,'games played'!$A:$A,'games played'!L:L,"xxx")</f>
        <v>0</v>
      </c>
    </row>
    <row r="96" spans="1:9" x14ac:dyDescent="0.2">
      <c r="A96" s="1">
        <v>95</v>
      </c>
      <c r="B96" s="1">
        <f>_xlfn.XLOOKUP($C96,mlb_ids!E:E,mlb_ids!A:A,"xxx")</f>
        <v>641355</v>
      </c>
      <c r="C96" s="11" t="s">
        <v>325</v>
      </c>
      <c r="D96" s="2" t="s">
        <v>325</v>
      </c>
      <c r="E96" s="2" t="s">
        <v>325</v>
      </c>
      <c r="F96" s="10" t="s">
        <v>2198</v>
      </c>
      <c r="G96" s="10">
        <v>11</v>
      </c>
      <c r="H96" s="10" t="str">
        <f>_xlfn.XLOOKUP($E96,'games played'!$A:$A,'games played'!K:K,"xxx")</f>
        <v>LF</v>
      </c>
      <c r="I96" s="10" t="b">
        <f>_xlfn.XLOOKUP($E96,'games played'!$A:$A,'games played'!L:L,"xxx")</f>
        <v>0</v>
      </c>
    </row>
    <row r="97" spans="1:9" x14ac:dyDescent="0.2">
      <c r="A97" s="1">
        <v>96</v>
      </c>
      <c r="B97" s="1">
        <f>_xlfn.XLOOKUP($C97,mlb_ids!E:E,mlb_ids!A:A,"xxx")</f>
        <v>677800</v>
      </c>
      <c r="C97" s="11" t="s">
        <v>326</v>
      </c>
      <c r="D97" s="2" t="s">
        <v>326</v>
      </c>
      <c r="E97" s="2" t="s">
        <v>326</v>
      </c>
      <c r="F97" s="10" t="s">
        <v>2216</v>
      </c>
      <c r="G97" s="10">
        <v>11</v>
      </c>
      <c r="H97" s="10" t="str">
        <f>_xlfn.XLOOKUP($E97,'games played'!$A:$A,'games played'!K:K,"xxx")</f>
        <v>RF</v>
      </c>
      <c r="I97" s="10" t="b">
        <f>_xlfn.XLOOKUP($E97,'games played'!$A:$A,'games played'!L:L,"xxx")</f>
        <v>0</v>
      </c>
    </row>
    <row r="98" spans="1:9" x14ac:dyDescent="0.2">
      <c r="A98" s="1">
        <v>97</v>
      </c>
      <c r="B98" s="1">
        <f>_xlfn.XLOOKUP($C98,mlb_ids!E:E,mlb_ids!A:A,"xxx")</f>
        <v>701807</v>
      </c>
      <c r="C98" s="11" t="s">
        <v>327</v>
      </c>
      <c r="D98" s="2" t="s">
        <v>327</v>
      </c>
      <c r="E98" s="2" t="s">
        <v>327</v>
      </c>
      <c r="F98" s="10" t="s">
        <v>2219</v>
      </c>
      <c r="G98" s="10">
        <v>11</v>
      </c>
      <c r="H98" s="10" t="str">
        <f>_xlfn.XLOOKUP($E98,'games played'!$A:$A,'games played'!K:K,"xxx")</f>
        <v>RF</v>
      </c>
      <c r="I98" s="10" t="b">
        <f>_xlfn.XLOOKUP($E98,'games played'!$A:$A,'games played'!L:L,"xxx")</f>
        <v>0</v>
      </c>
    </row>
    <row r="99" spans="1:9" x14ac:dyDescent="0.2">
      <c r="A99" s="1">
        <v>98</v>
      </c>
      <c r="B99" s="1">
        <f>_xlfn.XLOOKUP($C99,mlb_ids!E:E,mlb_ids!A:A,"xxx")</f>
        <v>702284</v>
      </c>
      <c r="C99" s="11" t="s">
        <v>328</v>
      </c>
      <c r="D99" s="2" t="s">
        <v>328</v>
      </c>
      <c r="E99" s="2" t="s">
        <v>328</v>
      </c>
      <c r="F99" s="10" t="s">
        <v>2213</v>
      </c>
      <c r="G99" s="10">
        <v>11</v>
      </c>
      <c r="H99" s="10" t="str">
        <f>_xlfn.XLOOKUP($E99,'games played'!$A:$A,'games played'!K:K,"xxx")</f>
        <v>2B</v>
      </c>
      <c r="I99" s="10" t="b">
        <f>_xlfn.XLOOKUP($E99,'games played'!$A:$A,'games played'!L:L,"xxx")</f>
        <v>0</v>
      </c>
    </row>
    <row r="100" spans="1:9" x14ac:dyDescent="0.2">
      <c r="A100" s="1">
        <v>99</v>
      </c>
      <c r="B100" s="1">
        <f>_xlfn.XLOOKUP($C100,mlb_ids!E:E,mlb_ids!A:A,"xxx")</f>
        <v>668227</v>
      </c>
      <c r="C100" s="11" t="s">
        <v>52</v>
      </c>
      <c r="D100" s="2" t="s">
        <v>52</v>
      </c>
      <c r="E100" s="2" t="s">
        <v>52</v>
      </c>
      <c r="F100" s="10" t="s">
        <v>2213</v>
      </c>
      <c r="G100" s="10">
        <v>11</v>
      </c>
      <c r="H100" s="10" t="str">
        <f>_xlfn.XLOOKUP($E100,'games played'!$A:$A,'games played'!K:K,"xxx")</f>
        <v>LF</v>
      </c>
      <c r="I100" s="10" t="b">
        <f>_xlfn.XLOOKUP($E100,'games played'!$A:$A,'games played'!L:L,"xxx")</f>
        <v>0</v>
      </c>
    </row>
    <row r="101" spans="1:9" x14ac:dyDescent="0.2">
      <c r="A101" s="1">
        <v>100</v>
      </c>
      <c r="B101" s="1">
        <f>_xlfn.XLOOKUP($C101,mlb_ids!E:E,mlb_ids!A:A,"xxx")</f>
        <v>664761</v>
      </c>
      <c r="C101" s="11" t="s">
        <v>53</v>
      </c>
      <c r="D101" s="2" t="s">
        <v>53</v>
      </c>
      <c r="E101" s="2" t="s">
        <v>53</v>
      </c>
      <c r="F101" s="10" t="s">
        <v>2202</v>
      </c>
      <c r="G101" s="10">
        <v>11</v>
      </c>
      <c r="H101" s="10" t="str">
        <f>_xlfn.XLOOKUP($E101,'games played'!$A:$A,'games played'!K:K,"xxx")</f>
        <v>3B</v>
      </c>
      <c r="I101" s="10" t="b">
        <f>_xlfn.XLOOKUP($E101,'games played'!$A:$A,'games played'!L:L,"xxx")</f>
        <v>0</v>
      </c>
    </row>
    <row r="102" spans="1:9" x14ac:dyDescent="0.2">
      <c r="A102" s="1">
        <v>101</v>
      </c>
      <c r="B102" s="1">
        <f>_xlfn.XLOOKUP($C102,mlb_ids!E:E,mlb_ids!A:A,"xxx")</f>
        <v>521692</v>
      </c>
      <c r="C102" s="11" t="s">
        <v>54</v>
      </c>
      <c r="D102" s="2" t="s">
        <v>54</v>
      </c>
      <c r="E102" s="2" t="s">
        <v>54</v>
      </c>
      <c r="F102" s="10" t="s">
        <v>2209</v>
      </c>
      <c r="G102" s="10">
        <v>11</v>
      </c>
      <c r="H102" s="10" t="str">
        <f>_xlfn.XLOOKUP($E102,'games played'!$A:$A,'games played'!K:K,"xxx")</f>
        <v>C</v>
      </c>
      <c r="I102" s="10" t="b">
        <f>_xlfn.XLOOKUP($E102,'games played'!$A:$A,'games played'!L:L,"xxx")</f>
        <v>1</v>
      </c>
    </row>
    <row r="103" spans="1:9" x14ac:dyDescent="0.2">
      <c r="A103" s="1">
        <v>102</v>
      </c>
      <c r="B103" s="1">
        <f>_xlfn.XLOOKUP($C103,mlb_ids!E:E,mlb_ids!A:A,"xxx")</f>
        <v>800050</v>
      </c>
      <c r="C103" s="11" t="s">
        <v>329</v>
      </c>
      <c r="D103" s="2" t="s">
        <v>329</v>
      </c>
      <c r="E103" s="2" t="s">
        <v>329</v>
      </c>
      <c r="F103" s="10" t="s">
        <v>2224</v>
      </c>
      <c r="G103" s="10">
        <v>11</v>
      </c>
      <c r="H103" s="10" t="str">
        <f>_xlfn.XLOOKUP($E103,'games played'!$A:$A,'games played'!K:K,"xxx")</f>
        <v>RF</v>
      </c>
      <c r="I103" s="10" t="b">
        <f>_xlfn.XLOOKUP($E103,'games played'!$A:$A,'games played'!L:L,"xxx")</f>
        <v>0</v>
      </c>
    </row>
    <row r="104" spans="1:9" x14ac:dyDescent="0.2">
      <c r="A104" s="1">
        <v>103</v>
      </c>
      <c r="B104" s="1">
        <f>_xlfn.XLOOKUP($C104,mlb_ids!E:E,mlb_ids!A:A,"xxx")</f>
        <v>656775</v>
      </c>
      <c r="C104" s="11" t="s">
        <v>330</v>
      </c>
      <c r="D104" s="2" t="s">
        <v>330</v>
      </c>
      <c r="E104" s="2" t="s">
        <v>330</v>
      </c>
      <c r="F104" s="10" t="s">
        <v>2205</v>
      </c>
      <c r="G104" s="10">
        <v>11</v>
      </c>
      <c r="H104" s="10" t="str">
        <f>_xlfn.XLOOKUP($E104,'games played'!$A:$A,'games played'!K:K,"xxx")</f>
        <v>CF</v>
      </c>
      <c r="I104" s="10" t="b">
        <f>_xlfn.XLOOKUP($E104,'games played'!$A:$A,'games played'!L:L,"xxx")</f>
        <v>0</v>
      </c>
    </row>
    <row r="105" spans="1:9" x14ac:dyDescent="0.2">
      <c r="A105" s="1">
        <v>104</v>
      </c>
      <c r="B105" s="1">
        <f>_xlfn.XLOOKUP($C105,mlb_ids!E:E,mlb_ids!A:A,"xxx")</f>
        <v>514888</v>
      </c>
      <c r="C105" s="11" t="s">
        <v>55</v>
      </c>
      <c r="D105" s="2" t="s">
        <v>55</v>
      </c>
      <c r="E105" s="2" t="s">
        <v>55</v>
      </c>
      <c r="F105" s="10" t="s">
        <v>2196</v>
      </c>
      <c r="G105" s="10">
        <v>11</v>
      </c>
      <c r="H105" s="10" t="str">
        <f>_xlfn.XLOOKUP($E105,'games played'!$A:$A,'games played'!K:K,"xxx")</f>
        <v>2B</v>
      </c>
      <c r="I105" s="10" t="b">
        <f>_xlfn.XLOOKUP($E105,'games played'!$A:$A,'games played'!L:L,"xxx")</f>
        <v>0</v>
      </c>
    </row>
    <row r="106" spans="1:9" x14ac:dyDescent="0.2">
      <c r="A106" s="1">
        <v>105</v>
      </c>
      <c r="B106" s="1">
        <f>_xlfn.XLOOKUP($C106,mlb_ids!E:E,mlb_ids!A:A,"xxx")</f>
        <v>624585</v>
      </c>
      <c r="C106" s="11" t="s">
        <v>56</v>
      </c>
      <c r="D106" s="2" t="s">
        <v>56</v>
      </c>
      <c r="E106" s="2" t="s">
        <v>56</v>
      </c>
      <c r="F106" s="10" t="s">
        <v>2210</v>
      </c>
      <c r="G106" s="10">
        <v>11</v>
      </c>
      <c r="H106" s="10" t="str">
        <f>_xlfn.XLOOKUP($E106,'games played'!$A:$A,'games played'!K:K,"xxx")</f>
        <v>DH</v>
      </c>
      <c r="I106" s="10" t="b">
        <f>_xlfn.XLOOKUP($E106,'games played'!$A:$A,'games played'!L:L,"xxx")</f>
        <v>0</v>
      </c>
    </row>
    <row r="107" spans="1:9" x14ac:dyDescent="0.2">
      <c r="A107" s="1">
        <v>106</v>
      </c>
      <c r="B107" s="1">
        <f>_xlfn.XLOOKUP($C107,mlb_ids!E:E,mlb_ids!A:A,"xxx")</f>
        <v>553993</v>
      </c>
      <c r="C107" s="11" t="s">
        <v>57</v>
      </c>
      <c r="D107" s="2" t="s">
        <v>57</v>
      </c>
      <c r="E107" s="2" t="s">
        <v>675</v>
      </c>
      <c r="F107" s="10" t="s">
        <v>2208</v>
      </c>
      <c r="G107" s="10">
        <v>11</v>
      </c>
      <c r="H107" s="10" t="str">
        <f>_xlfn.XLOOKUP($E107,'games played'!$A:$A,'games played'!K:K,"xxx")</f>
        <v>DH</v>
      </c>
      <c r="I107" s="10" t="b">
        <f>_xlfn.XLOOKUP($E107,'games played'!$A:$A,'games played'!L:L,"xxx")</f>
        <v>0</v>
      </c>
    </row>
    <row r="108" spans="1:9" x14ac:dyDescent="0.2">
      <c r="A108" s="1">
        <v>107</v>
      </c>
      <c r="B108" s="1">
        <f>_xlfn.XLOOKUP($C108,mlb_ids!E:E,mlb_ids!A:A,"xxx")</f>
        <v>605141</v>
      </c>
      <c r="C108" s="11" t="s">
        <v>58</v>
      </c>
      <c r="D108" s="2" t="s">
        <v>58</v>
      </c>
      <c r="E108" s="2" t="s">
        <v>58</v>
      </c>
      <c r="F108" s="10" t="s">
        <v>2201</v>
      </c>
      <c r="G108" s="10">
        <v>11</v>
      </c>
      <c r="H108" s="10" t="str">
        <f>_xlfn.XLOOKUP($E108,'games played'!$A:$A,'games played'!K:K,"xxx")</f>
        <v>SS</v>
      </c>
      <c r="I108" s="10" t="b">
        <f>_xlfn.XLOOKUP($E108,'games played'!$A:$A,'games played'!L:L,"xxx")</f>
        <v>0</v>
      </c>
    </row>
    <row r="109" spans="1:9" x14ac:dyDescent="0.2">
      <c r="A109" s="1">
        <v>108</v>
      </c>
      <c r="B109" s="1">
        <f>_xlfn.XLOOKUP($C109,mlb_ids!E:E,mlb_ids!A:A,"xxx")</f>
        <v>668901</v>
      </c>
      <c r="C109" s="11" t="s">
        <v>59</v>
      </c>
      <c r="D109" s="2" t="s">
        <v>59</v>
      </c>
      <c r="E109" s="2" t="s">
        <v>59</v>
      </c>
      <c r="F109" s="10" t="s">
        <v>2219</v>
      </c>
      <c r="G109" s="10">
        <v>11</v>
      </c>
      <c r="H109" s="10" t="str">
        <f>_xlfn.XLOOKUP($E109,'games played'!$A:$A,'games played'!K:K,"xxx")</f>
        <v>1B</v>
      </c>
      <c r="I109" s="10" t="b">
        <f>_xlfn.XLOOKUP($E109,'games played'!$A:$A,'games played'!L:L,"xxx")</f>
        <v>0</v>
      </c>
    </row>
    <row r="110" spans="1:9" x14ac:dyDescent="0.2">
      <c r="A110" s="1">
        <v>109</v>
      </c>
      <c r="B110" s="1">
        <f>_xlfn.XLOOKUP($C110,mlb_ids!E:E,mlb_ids!A:A,"xxx")</f>
        <v>680869</v>
      </c>
      <c r="C110" s="11" t="s">
        <v>60</v>
      </c>
      <c r="D110" s="2" t="s">
        <v>60</v>
      </c>
      <c r="E110" s="2" t="s">
        <v>60</v>
      </c>
      <c r="F110" s="10" t="s">
        <v>2200</v>
      </c>
      <c r="G110" s="10">
        <v>11</v>
      </c>
      <c r="H110" s="10" t="str">
        <f>_xlfn.XLOOKUP($E110,'games played'!$A:$A,'games played'!K:K,"xxx")</f>
        <v>3B</v>
      </c>
      <c r="I110" s="10" t="b">
        <f>_xlfn.XLOOKUP($E110,'games played'!$A:$A,'games played'!L:L,"xxx")</f>
        <v>0</v>
      </c>
    </row>
    <row r="111" spans="1:9" x14ac:dyDescent="0.2">
      <c r="A111" s="1">
        <v>110</v>
      </c>
      <c r="B111" s="1">
        <f>_xlfn.XLOOKUP($C111,mlb_ids!E:E,mlb_ids!A:A,"xxx")</f>
        <v>682657</v>
      </c>
      <c r="C111" s="11" t="s">
        <v>467</v>
      </c>
      <c r="D111" s="2" t="s">
        <v>467</v>
      </c>
      <c r="E111" s="2" t="s">
        <v>608</v>
      </c>
      <c r="F111" s="10" t="s">
        <v>2224</v>
      </c>
      <c r="G111" s="10">
        <v>11</v>
      </c>
      <c r="H111" s="10" t="str">
        <f>_xlfn.XLOOKUP($E111,'games played'!$A:$A,'games played'!K:K,"xxx")</f>
        <v>LF</v>
      </c>
      <c r="I111" s="10" t="b">
        <f>_xlfn.XLOOKUP($E111,'games played'!$A:$A,'games played'!L:L,"xxx")</f>
        <v>0</v>
      </c>
    </row>
    <row r="112" spans="1:9" x14ac:dyDescent="0.2">
      <c r="A112" s="1">
        <v>111</v>
      </c>
      <c r="B112" s="1">
        <f>_xlfn.XLOOKUP($C112,mlb_ids!E:E,mlb_ids!A:A,"xxx")</f>
        <v>664034</v>
      </c>
      <c r="C112" s="11" t="s">
        <v>61</v>
      </c>
      <c r="D112" s="2" t="s">
        <v>61</v>
      </c>
      <c r="E112" s="2" t="s">
        <v>61</v>
      </c>
      <c r="F112" s="10" t="s">
        <v>2222</v>
      </c>
      <c r="G112" s="10">
        <v>11</v>
      </c>
      <c r="H112" s="10" t="str">
        <f>_xlfn.XLOOKUP($E112,'games played'!$A:$A,'games played'!K:K,"xxx")</f>
        <v>1B</v>
      </c>
      <c r="I112" s="10" t="b">
        <f>_xlfn.XLOOKUP($E112,'games played'!$A:$A,'games played'!L:L,"xxx")</f>
        <v>0</v>
      </c>
    </row>
    <row r="113" spans="1:9" x14ac:dyDescent="0.2">
      <c r="A113" s="1">
        <v>112</v>
      </c>
      <c r="B113" s="1">
        <f>_xlfn.XLOOKUP($C113,mlb_ids!E:E,mlb_ids!A:A,"xxx")</f>
        <v>607208</v>
      </c>
      <c r="C113" s="11" t="s">
        <v>62</v>
      </c>
      <c r="D113" s="2" t="s">
        <v>62</v>
      </c>
      <c r="E113" s="2" t="s">
        <v>62</v>
      </c>
      <c r="F113" s="10" t="s">
        <v>2202</v>
      </c>
      <c r="G113" s="10">
        <v>10</v>
      </c>
      <c r="H113" s="10" t="str">
        <f>_xlfn.XLOOKUP($E113,'games played'!$A:$A,'games played'!K:K,"xxx")</f>
        <v>SS</v>
      </c>
      <c r="I113" s="10" t="b">
        <f>_xlfn.XLOOKUP($E113,'games played'!$A:$A,'games played'!L:L,"xxx")</f>
        <v>0</v>
      </c>
    </row>
    <row r="114" spans="1:9" x14ac:dyDescent="0.2">
      <c r="A114" s="1">
        <v>113</v>
      </c>
      <c r="B114" s="1">
        <f>_xlfn.XLOOKUP($C114,mlb_ids!E:E,mlb_ids!A:A,"xxx")</f>
        <v>666182</v>
      </c>
      <c r="C114" s="11" t="s">
        <v>63</v>
      </c>
      <c r="D114" s="2" t="s">
        <v>63</v>
      </c>
      <c r="E114" s="2" t="s">
        <v>63</v>
      </c>
      <c r="F114" s="10" t="s">
        <v>2219</v>
      </c>
      <c r="G114" s="10">
        <v>10</v>
      </c>
      <c r="H114" s="10" t="str">
        <f>_xlfn.XLOOKUP($E114,'games played'!$A:$A,'games played'!K:K,"xxx")</f>
        <v>3B</v>
      </c>
      <c r="I114" s="10" t="b">
        <f>_xlfn.XLOOKUP($E114,'games played'!$A:$A,'games played'!L:L,"xxx")</f>
        <v>0</v>
      </c>
    </row>
    <row r="115" spans="1:9" x14ac:dyDescent="0.2">
      <c r="A115" s="1">
        <v>114</v>
      </c>
      <c r="B115" s="1">
        <f>_xlfn.XLOOKUP($C115,mlb_ids!E:E,mlb_ids!A:A,"xxx")</f>
        <v>695734</v>
      </c>
      <c r="C115" s="11" t="s">
        <v>331</v>
      </c>
      <c r="D115" s="2" t="s">
        <v>331</v>
      </c>
      <c r="E115" s="2" t="s">
        <v>331</v>
      </c>
      <c r="F115" s="10" t="s">
        <v>2195</v>
      </c>
      <c r="G115" s="10">
        <v>10</v>
      </c>
      <c r="H115" s="10" t="str">
        <f>_xlfn.XLOOKUP($E115,'games played'!$A:$A,'games played'!K:K,"xxx")</f>
        <v>LF</v>
      </c>
      <c r="I115" s="10" t="b">
        <f>_xlfn.XLOOKUP($E115,'games played'!$A:$A,'games played'!L:L,"xxx")</f>
        <v>0</v>
      </c>
    </row>
    <row r="116" spans="1:9" x14ac:dyDescent="0.2">
      <c r="A116" s="1">
        <v>115</v>
      </c>
      <c r="B116" s="1">
        <f>_xlfn.XLOOKUP($C116,mlb_ids!E:E,mlb_ids!A:A,"xxx")</f>
        <v>701538</v>
      </c>
      <c r="C116" s="11" t="s">
        <v>332</v>
      </c>
      <c r="D116" s="2" t="s">
        <v>332</v>
      </c>
      <c r="E116" s="2" t="s">
        <v>332</v>
      </c>
      <c r="F116" s="10" t="s">
        <v>2222</v>
      </c>
      <c r="G116" s="10">
        <v>10</v>
      </c>
      <c r="H116" s="10" t="str">
        <f>_xlfn.XLOOKUP($E116,'games played'!$A:$A,'games played'!K:K,"xxx")</f>
        <v>CF</v>
      </c>
      <c r="I116" s="10" t="b">
        <f>_xlfn.XLOOKUP($E116,'games played'!$A:$A,'games played'!L:L,"xxx")</f>
        <v>0</v>
      </c>
    </row>
    <row r="117" spans="1:9" x14ac:dyDescent="0.2">
      <c r="A117" s="1">
        <v>116</v>
      </c>
      <c r="B117" s="1">
        <f>_xlfn.XLOOKUP($C117,mlb_ids!E:E,mlb_ids!A:A,"xxx")</f>
        <v>643289</v>
      </c>
      <c r="C117" s="11" t="s">
        <v>64</v>
      </c>
      <c r="D117" s="2" t="s">
        <v>64</v>
      </c>
      <c r="E117" s="2" t="s">
        <v>557</v>
      </c>
      <c r="F117" s="10" t="s">
        <v>2207</v>
      </c>
      <c r="G117" s="10">
        <v>10</v>
      </c>
      <c r="H117" s="10" t="str">
        <f>_xlfn.XLOOKUP($E117,'games played'!$A:$A,'games played'!K:K,"xxx")</f>
        <v>LF</v>
      </c>
      <c r="I117" s="10" t="b">
        <f>_xlfn.XLOOKUP($E117,'games played'!$A:$A,'games played'!L:L,"xxx")</f>
        <v>0</v>
      </c>
    </row>
    <row r="118" spans="1:9" x14ac:dyDescent="0.2">
      <c r="A118" s="1">
        <v>117</v>
      </c>
      <c r="B118" s="1">
        <f>_xlfn.XLOOKUP($C118,mlb_ids!E:E,mlb_ids!A:A,"xxx")</f>
        <v>641487</v>
      </c>
      <c r="C118" s="11" t="s">
        <v>333</v>
      </c>
      <c r="D118" s="2" t="s">
        <v>333</v>
      </c>
      <c r="E118" s="2" t="s">
        <v>333</v>
      </c>
      <c r="F118" s="10" t="s">
        <v>2213</v>
      </c>
      <c r="G118" s="10">
        <v>10</v>
      </c>
      <c r="H118" s="10" t="str">
        <f>_xlfn.XLOOKUP($E118,'games played'!$A:$A,'games played'!K:K,"xxx")</f>
        <v>SS</v>
      </c>
      <c r="I118" s="10" t="b">
        <f>_xlfn.XLOOKUP($E118,'games played'!$A:$A,'games played'!L:L,"xxx")</f>
        <v>0</v>
      </c>
    </row>
    <row r="119" spans="1:9" x14ac:dyDescent="0.2">
      <c r="A119" s="1">
        <v>118</v>
      </c>
      <c r="B119" s="1">
        <f>_xlfn.XLOOKUP($C119,mlb_ids!E:E,mlb_ids!A:A,"xxx")</f>
        <v>677649</v>
      </c>
      <c r="C119" s="11" t="s">
        <v>559</v>
      </c>
      <c r="D119" s="2" t="s">
        <v>65</v>
      </c>
      <c r="E119" s="2" t="s">
        <v>559</v>
      </c>
      <c r="F119" s="10" t="s">
        <v>2223</v>
      </c>
      <c r="G119" s="10">
        <v>10</v>
      </c>
      <c r="H119" s="10" t="str">
        <f>_xlfn.XLOOKUP($E119,'games played'!$A:$A,'games played'!K:K,"xxx")</f>
        <v>SS</v>
      </c>
      <c r="I119" s="10" t="b">
        <f>_xlfn.XLOOKUP($E119,'games played'!$A:$A,'games played'!L:L,"xxx")</f>
        <v>0</v>
      </c>
    </row>
    <row r="120" spans="1:9" x14ac:dyDescent="0.2">
      <c r="A120" s="1">
        <v>119</v>
      </c>
      <c r="B120" s="1">
        <f>_xlfn.XLOOKUP($C120,mlb_ids!E:E,mlb_ids!A:A,"xxx")</f>
        <v>608070</v>
      </c>
      <c r="C120" s="11" t="s">
        <v>468</v>
      </c>
      <c r="D120" s="2" t="s">
        <v>468</v>
      </c>
      <c r="E120" s="2" t="s">
        <v>642</v>
      </c>
      <c r="F120" s="10" t="s">
        <v>2224</v>
      </c>
      <c r="G120" s="10">
        <v>10</v>
      </c>
      <c r="H120" s="10" t="str">
        <f>_xlfn.XLOOKUP($E120,'games played'!$A:$A,'games played'!K:K,"xxx")</f>
        <v>3B</v>
      </c>
      <c r="I120" s="10" t="b">
        <f>_xlfn.XLOOKUP($E120,'games played'!$A:$A,'games played'!L:L,"xxx")</f>
        <v>0</v>
      </c>
    </row>
    <row r="121" spans="1:9" x14ac:dyDescent="0.2">
      <c r="A121" s="1">
        <v>120</v>
      </c>
      <c r="B121" s="1">
        <f>_xlfn.XLOOKUP($C121,mlb_ids!E:E,mlb_ids!A:A,"xxx")</f>
        <v>700932</v>
      </c>
      <c r="C121" s="11" t="s">
        <v>334</v>
      </c>
      <c r="D121" s="2" t="s">
        <v>334</v>
      </c>
      <c r="E121" s="2" t="s">
        <v>334</v>
      </c>
      <c r="F121" s="10" t="s">
        <v>2224</v>
      </c>
      <c r="G121" s="10">
        <v>10</v>
      </c>
      <c r="H121" s="10" t="str">
        <f>_xlfn.XLOOKUP($E121,'games played'!$A:$A,'games played'!K:K,"xxx")</f>
        <v>1B</v>
      </c>
      <c r="I121" s="10" t="b">
        <f>_xlfn.XLOOKUP($E121,'games played'!$A:$A,'games played'!L:L,"xxx")</f>
        <v>0</v>
      </c>
    </row>
    <row r="122" spans="1:9" x14ac:dyDescent="0.2">
      <c r="A122" s="1">
        <v>121</v>
      </c>
      <c r="B122" s="1">
        <f>_xlfn.XLOOKUP($C122,mlb_ids!E:E,mlb_ids!A:A,"xxx")</f>
        <v>664983</v>
      </c>
      <c r="C122" s="11" t="s">
        <v>335</v>
      </c>
      <c r="D122" s="2" t="s">
        <v>335</v>
      </c>
      <c r="E122" s="2" t="s">
        <v>335</v>
      </c>
      <c r="F122" s="10" t="s">
        <v>2214</v>
      </c>
      <c r="G122" s="10">
        <v>10</v>
      </c>
      <c r="H122" s="10" t="str">
        <f>_xlfn.XLOOKUP($E122,'games played'!$A:$A,'games played'!K:K,"xxx")</f>
        <v>CF</v>
      </c>
      <c r="I122" s="10" t="b">
        <f>_xlfn.XLOOKUP($E122,'games played'!$A:$A,'games played'!L:L,"xxx")</f>
        <v>0</v>
      </c>
    </row>
    <row r="123" spans="1:9" x14ac:dyDescent="0.2">
      <c r="A123" s="1">
        <v>122</v>
      </c>
      <c r="B123" s="1">
        <f>_xlfn.XLOOKUP($C123,mlb_ids!E:E,mlb_ids!A:A,"xxx")</f>
        <v>663757</v>
      </c>
      <c r="C123" s="11" t="s">
        <v>336</v>
      </c>
      <c r="D123" s="2" t="s">
        <v>336</v>
      </c>
      <c r="E123" s="2" t="s">
        <v>336</v>
      </c>
      <c r="F123" s="10" t="s">
        <v>2198</v>
      </c>
      <c r="G123" s="10">
        <v>10</v>
      </c>
      <c r="H123" s="10" t="str">
        <f>_xlfn.XLOOKUP($E123,'games played'!$A:$A,'games played'!K:K,"xxx")</f>
        <v>CF</v>
      </c>
      <c r="I123" s="10" t="b">
        <f>_xlfn.XLOOKUP($E123,'games played'!$A:$A,'games played'!L:L,"xxx")</f>
        <v>0</v>
      </c>
    </row>
    <row r="124" spans="1:9" x14ac:dyDescent="0.2">
      <c r="A124" s="1">
        <v>123</v>
      </c>
      <c r="B124" s="1">
        <f>_xlfn.XLOOKUP($C124,mlb_ids!E:E,mlb_ids!A:A,"xxx")</f>
        <v>676609</v>
      </c>
      <c r="C124" s="11" t="s">
        <v>66</v>
      </c>
      <c r="D124" s="2" t="s">
        <v>66</v>
      </c>
      <c r="E124" s="2" t="s">
        <v>539</v>
      </c>
      <c r="F124" s="10" t="s">
        <v>2198</v>
      </c>
      <c r="G124" s="10">
        <v>10</v>
      </c>
      <c r="H124" s="10" t="str">
        <f>_xlfn.XLOOKUP($E124,'games played'!$A:$A,'games played'!K:K,"xxx")</f>
        <v>SS</v>
      </c>
      <c r="I124" s="10" t="b">
        <f>_xlfn.XLOOKUP($E124,'games played'!$A:$A,'games played'!L:L,"xxx")</f>
        <v>0</v>
      </c>
    </row>
    <row r="125" spans="1:9" x14ac:dyDescent="0.2">
      <c r="A125" s="1">
        <v>124</v>
      </c>
      <c r="B125" s="1">
        <f>_xlfn.XLOOKUP($C125,mlb_ids!E:E,mlb_ids!A:A,"xxx")</f>
        <v>687462</v>
      </c>
      <c r="C125" s="11" t="s">
        <v>337</v>
      </c>
      <c r="D125" s="2" t="s">
        <v>337</v>
      </c>
      <c r="E125" s="2" t="s">
        <v>337</v>
      </c>
      <c r="F125" s="10" t="s">
        <v>2203</v>
      </c>
      <c r="G125" s="10">
        <v>10</v>
      </c>
      <c r="H125" s="10" t="str">
        <f>_xlfn.XLOOKUP($E125,'games played'!$A:$A,'games played'!K:K,"xxx")</f>
        <v>1B</v>
      </c>
      <c r="I125" s="10" t="b">
        <f>_xlfn.XLOOKUP($E125,'games played'!$A:$A,'games played'!L:L,"xxx")</f>
        <v>0</v>
      </c>
    </row>
    <row r="126" spans="1:9" x14ac:dyDescent="0.2">
      <c r="A126" s="1">
        <v>125</v>
      </c>
      <c r="B126" s="1">
        <f>_xlfn.XLOOKUP($C126,mlb_ids!E:E,mlb_ids!A:A,"xxx")</f>
        <v>643217</v>
      </c>
      <c r="C126" s="11" t="s">
        <v>338</v>
      </c>
      <c r="D126" s="2" t="s">
        <v>338</v>
      </c>
      <c r="E126" s="2" t="s">
        <v>338</v>
      </c>
      <c r="F126" s="10" t="s">
        <v>2206</v>
      </c>
      <c r="G126" s="10">
        <v>10</v>
      </c>
      <c r="H126" s="10" t="str">
        <f>_xlfn.XLOOKUP($E126,'games played'!$A:$A,'games played'!K:K,"xxx")</f>
        <v>DH</v>
      </c>
      <c r="I126" s="10" t="b">
        <f>_xlfn.XLOOKUP($E126,'games played'!$A:$A,'games played'!L:L,"xxx")</f>
        <v>0</v>
      </c>
    </row>
    <row r="127" spans="1:9" x14ac:dyDescent="0.2">
      <c r="A127" s="1">
        <v>126</v>
      </c>
      <c r="B127" s="1">
        <f>_xlfn.XLOOKUP($C127,mlb_ids!E:E,mlb_ids!A:A,"xxx")</f>
        <v>668904</v>
      </c>
      <c r="C127" s="11" t="s">
        <v>67</v>
      </c>
      <c r="D127" s="2" t="s">
        <v>67</v>
      </c>
      <c r="E127" s="2" t="s">
        <v>67</v>
      </c>
      <c r="F127" s="10" t="s">
        <v>2218</v>
      </c>
      <c r="G127" s="10">
        <v>10</v>
      </c>
      <c r="H127" s="10" t="str">
        <f>_xlfn.XLOOKUP($E127,'games played'!$A:$A,'games played'!K:K,"xxx")</f>
        <v>3B</v>
      </c>
      <c r="I127" s="10" t="b">
        <f>_xlfn.XLOOKUP($E127,'games played'!$A:$A,'games played'!L:L,"xxx")</f>
        <v>0</v>
      </c>
    </row>
    <row r="128" spans="1:9" x14ac:dyDescent="0.2">
      <c r="A128" s="1">
        <v>127</v>
      </c>
      <c r="B128" s="1">
        <f>_xlfn.XLOOKUP($C128,mlb_ids!E:E,mlb_ids!A:A,"xxx")</f>
        <v>663993</v>
      </c>
      <c r="C128" s="11" t="s">
        <v>339</v>
      </c>
      <c r="D128" s="2" t="s">
        <v>339</v>
      </c>
      <c r="E128" s="2" t="s">
        <v>339</v>
      </c>
      <c r="F128" s="10" t="s">
        <v>2208</v>
      </c>
      <c r="G128" s="10">
        <v>10</v>
      </c>
      <c r="H128" s="10" t="str">
        <f>_xlfn.XLOOKUP($E128,'games played'!$A:$A,'games played'!K:K,"xxx")</f>
        <v>DH</v>
      </c>
      <c r="I128" s="10" t="b">
        <f>_xlfn.XLOOKUP($E128,'games played'!$A:$A,'games played'!L:L,"xxx")</f>
        <v>0</v>
      </c>
    </row>
    <row r="129" spans="1:9" x14ac:dyDescent="0.2">
      <c r="A129" s="1">
        <v>128</v>
      </c>
      <c r="B129" s="1">
        <f>_xlfn.XLOOKUP($C129,mlb_ids!E:E,mlb_ids!A:A,"xxx")</f>
        <v>608369</v>
      </c>
      <c r="C129" s="11" t="s">
        <v>340</v>
      </c>
      <c r="D129" s="2" t="s">
        <v>340</v>
      </c>
      <c r="E129" s="2" t="s">
        <v>340</v>
      </c>
      <c r="F129" s="10" t="s">
        <v>2223</v>
      </c>
      <c r="G129" s="10">
        <v>10</v>
      </c>
      <c r="H129" s="10" t="str">
        <f>_xlfn.XLOOKUP($E129,'games played'!$A:$A,'games played'!K:K,"xxx")</f>
        <v>SS</v>
      </c>
      <c r="I129" s="10" t="b">
        <f>_xlfn.XLOOKUP($E129,'games played'!$A:$A,'games played'!L:L,"xxx")</f>
        <v>0</v>
      </c>
    </row>
    <row r="130" spans="1:9" x14ac:dyDescent="0.2">
      <c r="A130" s="1">
        <v>129</v>
      </c>
      <c r="B130" s="1">
        <f>_xlfn.XLOOKUP($C130,mlb_ids!E:E,mlb_ids!A:A,"xxx")</f>
        <v>687221</v>
      </c>
      <c r="C130" s="11" t="s">
        <v>341</v>
      </c>
      <c r="D130" s="2" t="s">
        <v>341</v>
      </c>
      <c r="E130" s="2" t="s">
        <v>341</v>
      </c>
      <c r="F130" s="10" t="s">
        <v>2201</v>
      </c>
      <c r="G130" s="10">
        <v>10</v>
      </c>
      <c r="H130" s="10" t="str">
        <f>_xlfn.XLOOKUP($E130,'games played'!$A:$A,'games played'!K:K,"xxx")</f>
        <v>C</v>
      </c>
      <c r="I130" s="10" t="b">
        <f>_xlfn.XLOOKUP($E130,'games played'!$A:$A,'games played'!L:L,"xxx")</f>
        <v>0</v>
      </c>
    </row>
    <row r="131" spans="1:9" x14ac:dyDescent="0.2">
      <c r="A131" s="1">
        <v>130</v>
      </c>
      <c r="B131" s="1">
        <f>_xlfn.XLOOKUP($C131,mlb_ids!E:E,mlb_ids!A:A,"xxx")</f>
        <v>667670</v>
      </c>
      <c r="C131" s="11" t="s">
        <v>68</v>
      </c>
      <c r="D131" s="2" t="s">
        <v>68</v>
      </c>
      <c r="E131" s="2" t="s">
        <v>68</v>
      </c>
      <c r="F131" s="10" t="s">
        <v>2200</v>
      </c>
      <c r="G131" s="10">
        <v>10</v>
      </c>
      <c r="H131" s="10" t="str">
        <f>_xlfn.XLOOKUP($E131,'games played'!$A:$A,'games played'!K:K,"xxx")</f>
        <v>DH</v>
      </c>
      <c r="I131" s="10" t="b">
        <f>_xlfn.XLOOKUP($E131,'games played'!$A:$A,'games played'!L:L,"xxx")</f>
        <v>0</v>
      </c>
    </row>
    <row r="132" spans="1:9" x14ac:dyDescent="0.2">
      <c r="A132" s="1">
        <v>131</v>
      </c>
      <c r="B132" s="1">
        <f>_xlfn.XLOOKUP($C132,mlb_ids!E:E,mlb_ids!A:A,"xxx")</f>
        <v>699013</v>
      </c>
      <c r="C132" s="11" t="s">
        <v>680</v>
      </c>
      <c r="D132" s="2" t="s">
        <v>69</v>
      </c>
      <c r="E132" s="2" t="s">
        <v>680</v>
      </c>
      <c r="F132" s="10" t="s">
        <v>2203</v>
      </c>
      <c r="G132" s="10">
        <v>10</v>
      </c>
      <c r="H132" s="10" t="str">
        <f>_xlfn.XLOOKUP($E132,'games played'!$A:$A,'games played'!K:K,"xxx")</f>
        <v>RF</v>
      </c>
      <c r="I132" s="10" t="b">
        <f>_xlfn.XLOOKUP($E132,'games played'!$A:$A,'games played'!L:L,"xxx")</f>
        <v>0</v>
      </c>
    </row>
    <row r="133" spans="1:9" x14ac:dyDescent="0.2">
      <c r="A133" s="1">
        <v>132</v>
      </c>
      <c r="B133" s="1">
        <f>_xlfn.XLOOKUP($C133,mlb_ids!E:E,mlb_ids!A:A,"xxx")</f>
        <v>608324</v>
      </c>
      <c r="C133" s="11" t="s">
        <v>70</v>
      </c>
      <c r="D133" s="2" t="s">
        <v>70</v>
      </c>
      <c r="E133" s="2" t="s">
        <v>70</v>
      </c>
      <c r="F133" s="10" t="s">
        <v>2197</v>
      </c>
      <c r="G133" s="10">
        <v>9</v>
      </c>
      <c r="H133" s="10" t="str">
        <f>_xlfn.XLOOKUP($E133,'games played'!$A:$A,'games played'!K:K,"xxx")</f>
        <v>3B</v>
      </c>
      <c r="I133" s="10" t="b">
        <f>_xlfn.XLOOKUP($E133,'games played'!$A:$A,'games played'!L:L,"xxx")</f>
        <v>0</v>
      </c>
    </row>
    <row r="134" spans="1:9" x14ac:dyDescent="0.2">
      <c r="A134" s="1">
        <v>133</v>
      </c>
      <c r="B134" s="1">
        <f>_xlfn.XLOOKUP($C134,mlb_ids!E:E,mlb_ids!A:A,"xxx")</f>
        <v>672640</v>
      </c>
      <c r="C134" s="11" t="s">
        <v>71</v>
      </c>
      <c r="D134" s="2" t="s">
        <v>71</v>
      </c>
      <c r="E134" s="2" t="s">
        <v>71</v>
      </c>
      <c r="F134" s="10" t="s">
        <v>2211</v>
      </c>
      <c r="G134" s="10">
        <v>9</v>
      </c>
      <c r="H134" s="10" t="str">
        <f>_xlfn.XLOOKUP($E134,'games played'!$A:$A,'games played'!K:K,"xxx")</f>
        <v>SS</v>
      </c>
      <c r="I134" s="10" t="b">
        <f>_xlfn.XLOOKUP($E134,'games played'!$A:$A,'games played'!L:L,"xxx")</f>
        <v>0</v>
      </c>
    </row>
    <row r="135" spans="1:9" x14ac:dyDescent="0.2">
      <c r="A135" s="1">
        <v>134</v>
      </c>
      <c r="B135" s="1">
        <f>_xlfn.XLOOKUP($C135,mlb_ids!E:E,mlb_ids!A:A,"xxx")</f>
        <v>663586</v>
      </c>
      <c r="C135" s="11" t="s">
        <v>72</v>
      </c>
      <c r="D135" s="2" t="s">
        <v>72</v>
      </c>
      <c r="E135" s="2" t="s">
        <v>72</v>
      </c>
      <c r="F135" s="10" t="s">
        <v>2207</v>
      </c>
      <c r="G135" s="10">
        <v>9</v>
      </c>
      <c r="H135" s="10" t="str">
        <f>_xlfn.XLOOKUP($E135,'games played'!$A:$A,'games played'!K:K,"xxx")</f>
        <v>3B</v>
      </c>
      <c r="I135" s="10" t="b">
        <f>_xlfn.XLOOKUP($E135,'games played'!$A:$A,'games played'!L:L,"xxx")</f>
        <v>0</v>
      </c>
    </row>
    <row r="136" spans="1:9" x14ac:dyDescent="0.2">
      <c r="A136" s="1">
        <v>135</v>
      </c>
      <c r="B136" s="1">
        <f>_xlfn.XLOOKUP($C136,mlb_ids!E:E,mlb_ids!A:A,"xxx")</f>
        <v>661388</v>
      </c>
      <c r="C136" s="11" t="s">
        <v>73</v>
      </c>
      <c r="D136" s="2" t="s">
        <v>73</v>
      </c>
      <c r="E136" s="2" t="s">
        <v>73</v>
      </c>
      <c r="F136" s="10" t="s">
        <v>2204</v>
      </c>
      <c r="G136" s="10">
        <v>9</v>
      </c>
      <c r="H136" s="10" t="str">
        <f>_xlfn.XLOOKUP($E136,'games played'!$A:$A,'games played'!K:K,"xxx")</f>
        <v>C</v>
      </c>
      <c r="I136" s="10" t="b">
        <f>_xlfn.XLOOKUP($E136,'games played'!$A:$A,'games played'!L:L,"xxx")</f>
        <v>0</v>
      </c>
    </row>
    <row r="137" spans="1:9" x14ac:dyDescent="0.2">
      <c r="A137" s="1">
        <v>136</v>
      </c>
      <c r="B137" s="1">
        <f>_xlfn.XLOOKUP($C137,mlb_ids!E:E,mlb_ids!A:A,"xxx")</f>
        <v>607043</v>
      </c>
      <c r="C137" s="11" t="s">
        <v>342</v>
      </c>
      <c r="D137" s="2" t="s">
        <v>342</v>
      </c>
      <c r="E137" s="2" t="s">
        <v>342</v>
      </c>
      <c r="F137" s="10" t="s">
        <v>2223</v>
      </c>
      <c r="G137" s="10">
        <v>9</v>
      </c>
      <c r="H137" s="10" t="str">
        <f>_xlfn.XLOOKUP($E137,'games played'!$A:$A,'games played'!K:K,"xxx")</f>
        <v>RF</v>
      </c>
      <c r="I137" s="10" t="b">
        <f>_xlfn.XLOOKUP($E137,'games played'!$A:$A,'games played'!L:L,"xxx")</f>
        <v>0</v>
      </c>
    </row>
    <row r="138" spans="1:9" x14ac:dyDescent="0.2">
      <c r="A138" s="1">
        <v>137</v>
      </c>
      <c r="B138" s="1">
        <f>_xlfn.XLOOKUP($C138,mlb_ids!E:E,mlb_ids!A:A,"xxx")</f>
        <v>673962</v>
      </c>
      <c r="C138" s="11" t="s">
        <v>74</v>
      </c>
      <c r="D138" s="2" t="s">
        <v>74</v>
      </c>
      <c r="E138" s="2" t="s">
        <v>74</v>
      </c>
      <c r="F138" s="10" t="s">
        <v>2223</v>
      </c>
      <c r="G138" s="10">
        <v>9</v>
      </c>
      <c r="H138" s="10" t="str">
        <f>_xlfn.XLOOKUP($E138,'games played'!$A:$A,'games played'!K:K,"xxx")</f>
        <v>3B</v>
      </c>
      <c r="I138" s="10" t="b">
        <f>_xlfn.XLOOKUP($E138,'games played'!$A:$A,'games played'!L:L,"xxx")</f>
        <v>0</v>
      </c>
    </row>
    <row r="139" spans="1:9" x14ac:dyDescent="0.2">
      <c r="A139" s="1">
        <v>138</v>
      </c>
      <c r="B139" s="1">
        <f>_xlfn.XLOOKUP($C139,mlb_ids!E:E,mlb_ids!A:A,"xxx")</f>
        <v>593428</v>
      </c>
      <c r="C139" s="11" t="s">
        <v>75</v>
      </c>
      <c r="D139" s="2" t="s">
        <v>75</v>
      </c>
      <c r="E139" s="2" t="s">
        <v>75</v>
      </c>
      <c r="F139" s="10" t="s">
        <v>2222</v>
      </c>
      <c r="G139" s="10">
        <v>9</v>
      </c>
      <c r="H139" s="10" t="str">
        <f>_xlfn.XLOOKUP($E139,'games played'!$A:$A,'games played'!K:K,"xxx")</f>
        <v>SS</v>
      </c>
      <c r="I139" s="10" t="b">
        <f>_xlfn.XLOOKUP($E139,'games played'!$A:$A,'games played'!L:L,"xxx")</f>
        <v>0</v>
      </c>
    </row>
    <row r="140" spans="1:9" x14ac:dyDescent="0.2">
      <c r="A140" s="1">
        <v>139</v>
      </c>
      <c r="B140" s="1">
        <f>_xlfn.XLOOKUP($C140,mlb_ids!E:E,mlb_ids!A:A,"xxx")</f>
        <v>691720</v>
      </c>
      <c r="C140" s="11" t="s">
        <v>76</v>
      </c>
      <c r="D140" s="2" t="s">
        <v>76</v>
      </c>
      <c r="E140" s="2" t="s">
        <v>76</v>
      </c>
      <c r="F140" s="10" t="s">
        <v>2214</v>
      </c>
      <c r="G140" s="10">
        <v>9</v>
      </c>
      <c r="H140" s="10" t="str">
        <f>_xlfn.XLOOKUP($E140,'games played'!$A:$A,'games played'!K:K,"xxx")</f>
        <v>3B</v>
      </c>
      <c r="I140" s="10" t="b">
        <f>_xlfn.XLOOKUP($E140,'games played'!$A:$A,'games played'!L:L,"xxx")</f>
        <v>0</v>
      </c>
    </row>
    <row r="141" spans="1:9" x14ac:dyDescent="0.2">
      <c r="A141" s="1">
        <v>140</v>
      </c>
      <c r="B141" s="1">
        <f>_xlfn.XLOOKUP($C141,mlb_ids!E:E,mlb_ids!A:A,"xxx")</f>
        <v>543760</v>
      </c>
      <c r="C141" s="11" t="s">
        <v>77</v>
      </c>
      <c r="D141" s="2" t="s">
        <v>77</v>
      </c>
      <c r="E141" s="2" t="s">
        <v>77</v>
      </c>
      <c r="F141" s="10" t="s">
        <v>2219</v>
      </c>
      <c r="G141" s="10">
        <v>9</v>
      </c>
      <c r="H141" s="10" t="str">
        <f>_xlfn.XLOOKUP($E141,'games played'!$A:$A,'games played'!K:K,"xxx")</f>
        <v>2B</v>
      </c>
      <c r="I141" s="10" t="b">
        <f>_xlfn.XLOOKUP($E141,'games played'!$A:$A,'games played'!L:L,"xxx")</f>
        <v>0</v>
      </c>
    </row>
    <row r="142" spans="1:9" x14ac:dyDescent="0.2">
      <c r="A142" s="1">
        <v>141</v>
      </c>
      <c r="B142" s="1">
        <f>_xlfn.XLOOKUP($C142,mlb_ids!E:E,mlb_ids!A:A,"xxx")</f>
        <v>702332</v>
      </c>
      <c r="C142" s="11" t="s">
        <v>78</v>
      </c>
      <c r="D142" s="2" t="s">
        <v>78</v>
      </c>
      <c r="E142" s="2" t="s">
        <v>78</v>
      </c>
      <c r="F142" s="10" t="s">
        <v>2216</v>
      </c>
      <c r="G142" s="10">
        <v>9</v>
      </c>
      <c r="H142" s="10" t="str">
        <f>_xlfn.XLOOKUP($E142,'games played'!$A:$A,'games played'!K:K,"xxx")</f>
        <v>3B</v>
      </c>
      <c r="I142" s="10" t="b">
        <f>_xlfn.XLOOKUP($E142,'games played'!$A:$A,'games played'!L:L,"xxx")</f>
        <v>0</v>
      </c>
    </row>
    <row r="143" spans="1:9" x14ac:dyDescent="0.2">
      <c r="A143" s="1">
        <v>142</v>
      </c>
      <c r="B143" s="1">
        <f>_xlfn.XLOOKUP($C143,mlb_ids!E:E,mlb_ids!A:A,"xxx")</f>
        <v>543807</v>
      </c>
      <c r="C143" s="11" t="s">
        <v>79</v>
      </c>
      <c r="D143" s="2" t="s">
        <v>79</v>
      </c>
      <c r="E143" s="2" t="s">
        <v>79</v>
      </c>
      <c r="F143" s="10" t="s">
        <v>2220</v>
      </c>
      <c r="G143" s="10">
        <v>9</v>
      </c>
      <c r="H143" s="10" t="str">
        <f>_xlfn.XLOOKUP($E143,'games played'!$A:$A,'games played'!K:K,"xxx")</f>
        <v>DH</v>
      </c>
      <c r="I143" s="10" t="b">
        <f>_xlfn.XLOOKUP($E143,'games played'!$A:$A,'games played'!L:L,"xxx")</f>
        <v>0</v>
      </c>
    </row>
    <row r="144" spans="1:9" x14ac:dyDescent="0.2">
      <c r="A144" s="1">
        <v>143</v>
      </c>
      <c r="B144" s="1">
        <f>_xlfn.XLOOKUP($C144,mlb_ids!E:E,mlb_ids!A:A,"xxx")</f>
        <v>663728</v>
      </c>
      <c r="C144" s="11" t="s">
        <v>469</v>
      </c>
      <c r="D144" s="2" t="s">
        <v>469</v>
      </c>
      <c r="E144" s="2" t="s">
        <v>469</v>
      </c>
      <c r="F144" s="10" t="s">
        <v>2213</v>
      </c>
      <c r="G144" s="10">
        <v>9</v>
      </c>
      <c r="H144" s="10" t="str">
        <f>_xlfn.XLOOKUP($E144,'games played'!$A:$A,'games played'!K:K,"xxx")</f>
        <v>C</v>
      </c>
      <c r="I144" s="10" t="b">
        <f>_xlfn.XLOOKUP($E144,'games played'!$A:$A,'games played'!L:L,"xxx")</f>
        <v>0</v>
      </c>
    </row>
    <row r="145" spans="1:9" x14ac:dyDescent="0.2">
      <c r="A145" s="1">
        <v>144</v>
      </c>
      <c r="B145" s="1">
        <f>_xlfn.XLOOKUP($C145,mlb_ids!E:E,mlb_ids!A:A,"xxx")</f>
        <v>656555</v>
      </c>
      <c r="C145" s="11" t="s">
        <v>80</v>
      </c>
      <c r="D145" s="2" t="s">
        <v>80</v>
      </c>
      <c r="E145" s="2" t="s">
        <v>80</v>
      </c>
      <c r="F145" s="10" t="s">
        <v>2224</v>
      </c>
      <c r="G145" s="10">
        <v>9</v>
      </c>
      <c r="H145" s="10" t="str">
        <f>_xlfn.XLOOKUP($E145,'games played'!$A:$A,'games played'!K:K,"xxx")</f>
        <v>1B</v>
      </c>
      <c r="I145" s="10" t="b">
        <f>_xlfn.XLOOKUP($E145,'games played'!$A:$A,'games played'!L:L,"xxx")</f>
        <v>0</v>
      </c>
    </row>
    <row r="146" spans="1:9" x14ac:dyDescent="0.2">
      <c r="A146" s="1">
        <v>145</v>
      </c>
      <c r="B146" s="1">
        <f>_xlfn.XLOOKUP($C146,mlb_ids!E:E,mlb_ids!A:A,"xxx")</f>
        <v>682626</v>
      </c>
      <c r="C146" s="11" t="s">
        <v>81</v>
      </c>
      <c r="D146" s="2" t="s">
        <v>81</v>
      </c>
      <c r="E146" s="2" t="s">
        <v>81</v>
      </c>
      <c r="F146" s="10" t="s">
        <v>2219</v>
      </c>
      <c r="G146" s="10">
        <v>9</v>
      </c>
      <c r="H146" s="10" t="str">
        <f>_xlfn.XLOOKUP($E146,'games played'!$A:$A,'games played'!K:K,"xxx")</f>
        <v>C</v>
      </c>
      <c r="I146" s="10" t="b">
        <f>_xlfn.XLOOKUP($E146,'games played'!$A:$A,'games played'!L:L,"xxx")</f>
        <v>0</v>
      </c>
    </row>
    <row r="147" spans="1:9" x14ac:dyDescent="0.2">
      <c r="A147" s="1">
        <v>146</v>
      </c>
      <c r="B147" s="1">
        <f>_xlfn.XLOOKUP($C147,mlb_ids!E:E,mlb_ids!A:A,"xxx")</f>
        <v>641857</v>
      </c>
      <c r="C147" s="11" t="s">
        <v>343</v>
      </c>
      <c r="D147" s="2" t="s">
        <v>343</v>
      </c>
      <c r="E147" s="2" t="s">
        <v>343</v>
      </c>
      <c r="F147" s="10" t="s">
        <v>2198</v>
      </c>
      <c r="G147" s="10">
        <v>9</v>
      </c>
      <c r="H147" s="10" t="str">
        <f>_xlfn.XLOOKUP($E147,'games played'!$A:$A,'games played'!K:K,"xxx")</f>
        <v>3B</v>
      </c>
      <c r="I147" s="10" t="b">
        <f>_xlfn.XLOOKUP($E147,'games played'!$A:$A,'games played'!L:L,"xxx")</f>
        <v>0</v>
      </c>
    </row>
    <row r="148" spans="1:9" x14ac:dyDescent="0.2">
      <c r="A148" s="1">
        <v>147</v>
      </c>
      <c r="B148" s="1">
        <f>_xlfn.XLOOKUP($C148,mlb_ids!E:E,mlb_ids!A:A,"xxx")</f>
        <v>694671</v>
      </c>
      <c r="C148" s="11" t="s">
        <v>82</v>
      </c>
      <c r="D148" s="2" t="s">
        <v>82</v>
      </c>
      <c r="E148" s="2" t="s">
        <v>82</v>
      </c>
      <c r="F148" s="10" t="s">
        <v>2223</v>
      </c>
      <c r="G148" s="10">
        <v>9</v>
      </c>
      <c r="H148" s="10" t="str">
        <f>_xlfn.XLOOKUP($E148,'games played'!$A:$A,'games played'!K:K,"xxx")</f>
        <v>LF</v>
      </c>
      <c r="I148" s="10" t="b">
        <f>_xlfn.XLOOKUP($E148,'games played'!$A:$A,'games played'!L:L,"xxx")</f>
        <v>0</v>
      </c>
    </row>
    <row r="149" spans="1:9" x14ac:dyDescent="0.2">
      <c r="A149" s="1">
        <v>148</v>
      </c>
      <c r="B149" s="1">
        <f>_xlfn.XLOOKUP($C149,mlb_ids!E:E,mlb_ids!A:A,"xxx")</f>
        <v>641680</v>
      </c>
      <c r="C149" s="11" t="s">
        <v>470</v>
      </c>
      <c r="D149" s="2" t="s">
        <v>470</v>
      </c>
      <c r="E149" s="2" t="s">
        <v>470</v>
      </c>
      <c r="F149" s="10" t="s">
        <v>2207</v>
      </c>
      <c r="G149" s="10">
        <v>9</v>
      </c>
      <c r="H149" s="10" t="str">
        <f>_xlfn.XLOOKUP($E149,'games played'!$A:$A,'games played'!K:K,"xxx")</f>
        <v>C</v>
      </c>
      <c r="I149" s="10" t="b">
        <f>_xlfn.XLOOKUP($E149,'games played'!$A:$A,'games played'!L:L,"xxx")</f>
        <v>0</v>
      </c>
    </row>
    <row r="150" spans="1:9" x14ac:dyDescent="0.2">
      <c r="A150" s="1">
        <v>149</v>
      </c>
      <c r="B150" s="1">
        <f>_xlfn.XLOOKUP($C150,mlb_ids!E:E,mlb_ids!A:A,"xxx")</f>
        <v>642708</v>
      </c>
      <c r="C150" s="11" t="s">
        <v>83</v>
      </c>
      <c r="D150" s="2" t="s">
        <v>83</v>
      </c>
      <c r="E150" s="2" t="s">
        <v>83</v>
      </c>
      <c r="F150" s="10" t="s">
        <v>2198</v>
      </c>
      <c r="G150" s="10">
        <v>9</v>
      </c>
      <c r="H150" s="10" t="str">
        <f>_xlfn.XLOOKUP($E150,'games played'!$A:$A,'games played'!K:K,"xxx")</f>
        <v>3B</v>
      </c>
      <c r="I150" s="10" t="b">
        <f>_xlfn.XLOOKUP($E150,'games played'!$A:$A,'games played'!L:L,"xxx")</f>
        <v>0</v>
      </c>
    </row>
    <row r="151" spans="1:9" x14ac:dyDescent="0.2">
      <c r="A151" s="1">
        <v>150</v>
      </c>
      <c r="B151" s="1">
        <f>_xlfn.XLOOKUP($C151,mlb_ids!E:E,mlb_ids!A:A,"xxx")</f>
        <v>545341</v>
      </c>
      <c r="C151" s="11" t="s">
        <v>84</v>
      </c>
      <c r="D151" s="2" t="s">
        <v>84</v>
      </c>
      <c r="E151" s="2" t="s">
        <v>84</v>
      </c>
      <c r="F151" s="10" t="s">
        <v>2198</v>
      </c>
      <c r="G151" s="10">
        <v>9</v>
      </c>
      <c r="H151" s="10" t="str">
        <f>_xlfn.XLOOKUP($E151,'games played'!$A:$A,'games played'!K:K,"xxx")</f>
        <v>DH</v>
      </c>
      <c r="I151" s="10" t="b">
        <f>_xlfn.XLOOKUP($E151,'games played'!$A:$A,'games played'!L:L,"xxx")</f>
        <v>0</v>
      </c>
    </row>
    <row r="152" spans="1:9" x14ac:dyDescent="0.2">
      <c r="A152" s="1">
        <v>151</v>
      </c>
      <c r="B152" s="1">
        <f>_xlfn.XLOOKUP($C152,mlb_ids!E:E,mlb_ids!A:A,"xxx")</f>
        <v>805808</v>
      </c>
      <c r="C152" s="11" t="s">
        <v>344</v>
      </c>
      <c r="D152" s="2" t="s">
        <v>344</v>
      </c>
      <c r="E152" s="2" t="s">
        <v>344</v>
      </c>
      <c r="F152" s="10" t="s">
        <v>2217</v>
      </c>
      <c r="G152" s="10">
        <v>8</v>
      </c>
      <c r="H152" s="10" t="str">
        <f>_xlfn.XLOOKUP($E152,'games played'!$A:$A,'games played'!K:K,"xxx")</f>
        <v>SS</v>
      </c>
      <c r="I152" s="10" t="b">
        <f>_xlfn.XLOOKUP($E152,'games played'!$A:$A,'games played'!L:L,"xxx")</f>
        <v>0</v>
      </c>
    </row>
    <row r="153" spans="1:9" x14ac:dyDescent="0.2">
      <c r="A153" s="1">
        <v>152</v>
      </c>
      <c r="B153" s="1">
        <f>_xlfn.XLOOKUP($C153,mlb_ids!E:E,mlb_ids!A:A,"xxx")</f>
        <v>647304</v>
      </c>
      <c r="C153" s="11" t="s">
        <v>345</v>
      </c>
      <c r="D153" s="2" t="s">
        <v>345</v>
      </c>
      <c r="E153" s="2" t="s">
        <v>345</v>
      </c>
      <c r="F153" s="10" t="s">
        <v>2213</v>
      </c>
      <c r="G153" s="10">
        <v>8</v>
      </c>
      <c r="H153" s="10" t="str">
        <f>_xlfn.XLOOKUP($E153,'games played'!$A:$A,'games played'!K:K,"xxx")</f>
        <v>1B</v>
      </c>
      <c r="I153" s="10" t="b">
        <f>_xlfn.XLOOKUP($E153,'games played'!$A:$A,'games played'!L:L,"xxx")</f>
        <v>0</v>
      </c>
    </row>
    <row r="154" spans="1:9" x14ac:dyDescent="0.2">
      <c r="A154" s="1">
        <v>153</v>
      </c>
      <c r="B154" s="1">
        <f>_xlfn.XLOOKUP($C154,mlb_ids!E:E,mlb_ids!A:A,"xxx")</f>
        <v>676391</v>
      </c>
      <c r="C154" s="11" t="s">
        <v>85</v>
      </c>
      <c r="D154" s="2" t="s">
        <v>85</v>
      </c>
      <c r="E154" s="2" t="s">
        <v>85</v>
      </c>
      <c r="F154" s="10" t="s">
        <v>2220</v>
      </c>
      <c r="G154" s="10">
        <v>8</v>
      </c>
      <c r="H154" s="10" t="str">
        <f>_xlfn.XLOOKUP($E154,'games played'!$A:$A,'games played'!K:K,"xxx")</f>
        <v>2B</v>
      </c>
      <c r="I154" s="10" t="b">
        <f>_xlfn.XLOOKUP($E154,'games played'!$A:$A,'games played'!L:L,"xxx")</f>
        <v>0</v>
      </c>
    </row>
    <row r="155" spans="1:9" x14ac:dyDescent="0.2">
      <c r="A155" s="1">
        <v>154</v>
      </c>
      <c r="B155" s="1">
        <f>_xlfn.XLOOKUP($C155,mlb_ids!E:E,mlb_ids!A:A,"xxx")</f>
        <v>678882</v>
      </c>
      <c r="C155" s="11" t="s">
        <v>86</v>
      </c>
      <c r="D155" s="2" t="s">
        <v>86</v>
      </c>
      <c r="E155" s="2" t="s">
        <v>86</v>
      </c>
      <c r="F155" s="10" t="s">
        <v>2216</v>
      </c>
      <c r="G155" s="10">
        <v>8</v>
      </c>
      <c r="H155" s="10" t="str">
        <f>_xlfn.XLOOKUP($E155,'games played'!$A:$A,'games played'!K:K,"xxx")</f>
        <v>CF</v>
      </c>
      <c r="I155" s="10" t="b">
        <f>_xlfn.XLOOKUP($E155,'games played'!$A:$A,'games played'!L:L,"xxx")</f>
        <v>0</v>
      </c>
    </row>
    <row r="156" spans="1:9" x14ac:dyDescent="0.2">
      <c r="A156" s="1">
        <v>155</v>
      </c>
      <c r="B156" s="1">
        <f>_xlfn.XLOOKUP($C156,mlb_ids!E:E,mlb_ids!A:A,"xxx")</f>
        <v>677587</v>
      </c>
      <c r="C156" s="11" t="s">
        <v>471</v>
      </c>
      <c r="D156" s="2" t="s">
        <v>471</v>
      </c>
      <c r="E156" s="2" t="s">
        <v>471</v>
      </c>
      <c r="F156" s="10" t="s">
        <v>2224</v>
      </c>
      <c r="G156" s="10">
        <v>8</v>
      </c>
      <c r="H156" s="10" t="str">
        <f>_xlfn.XLOOKUP($E156,'games played'!$A:$A,'games played'!K:K,"xxx")</f>
        <v>SS</v>
      </c>
      <c r="I156" s="10" t="b">
        <f>_xlfn.XLOOKUP($E156,'games played'!$A:$A,'games played'!L:L,"xxx")</f>
        <v>0</v>
      </c>
    </row>
    <row r="157" spans="1:9" x14ac:dyDescent="0.2">
      <c r="A157" s="1">
        <v>156</v>
      </c>
      <c r="B157" s="1">
        <f>_xlfn.XLOOKUP($C157,mlb_ids!E:E,mlb_ids!A:A,"xxx")</f>
        <v>678662</v>
      </c>
      <c r="C157" s="11" t="s">
        <v>87</v>
      </c>
      <c r="D157" s="2" t="s">
        <v>87</v>
      </c>
      <c r="E157" s="2" t="s">
        <v>87</v>
      </c>
      <c r="F157" s="10" t="s">
        <v>2214</v>
      </c>
      <c r="G157" s="10">
        <v>8</v>
      </c>
      <c r="H157" s="10" t="str">
        <f>_xlfn.XLOOKUP($E157,'games played'!$A:$A,'games played'!K:K,"xxx")</f>
        <v>SS</v>
      </c>
      <c r="I157" s="10" t="b">
        <f>_xlfn.XLOOKUP($E157,'games played'!$A:$A,'games played'!L:L,"xxx")</f>
        <v>0</v>
      </c>
    </row>
    <row r="158" spans="1:9" x14ac:dyDescent="0.2">
      <c r="A158" s="1">
        <v>157</v>
      </c>
      <c r="B158" s="1">
        <f>_xlfn.XLOOKUP($C158,mlb_ids!E:E,mlb_ids!A:A,"xxx")</f>
        <v>669003</v>
      </c>
      <c r="C158" s="11" t="s">
        <v>346</v>
      </c>
      <c r="D158" s="2" t="s">
        <v>346</v>
      </c>
      <c r="E158" s="2" t="s">
        <v>346</v>
      </c>
      <c r="F158" s="10" t="s">
        <v>2204</v>
      </c>
      <c r="G158" s="10">
        <v>8</v>
      </c>
      <c r="H158" s="10" t="str">
        <f>_xlfn.XLOOKUP($E158,'games played'!$A:$A,'games played'!K:K,"xxx")</f>
        <v>CF</v>
      </c>
      <c r="I158" s="10" t="b">
        <f>_xlfn.XLOOKUP($E158,'games played'!$A:$A,'games played'!L:L,"xxx")</f>
        <v>0</v>
      </c>
    </row>
    <row r="159" spans="1:9" x14ac:dyDescent="0.2">
      <c r="A159" s="1">
        <v>158</v>
      </c>
      <c r="B159" s="1">
        <f>_xlfn.XLOOKUP($C159,mlb_ids!E:E,mlb_ids!A:A,"xxx")</f>
        <v>680574</v>
      </c>
      <c r="C159" s="11" t="s">
        <v>88</v>
      </c>
      <c r="D159" s="2" t="s">
        <v>88</v>
      </c>
      <c r="E159" s="2" t="s">
        <v>88</v>
      </c>
      <c r="F159" s="10" t="s">
        <v>2208</v>
      </c>
      <c r="G159" s="10">
        <v>8</v>
      </c>
      <c r="H159" s="10" t="str">
        <f>_xlfn.XLOOKUP($E159,'games played'!$A:$A,'games played'!K:K,"xxx")</f>
        <v>2B</v>
      </c>
      <c r="I159" s="10" t="b">
        <f>_xlfn.XLOOKUP($E159,'games played'!$A:$A,'games played'!L:L,"xxx")</f>
        <v>0</v>
      </c>
    </row>
    <row r="160" spans="1:9" x14ac:dyDescent="0.2">
      <c r="A160" s="1">
        <v>159</v>
      </c>
      <c r="B160" s="1">
        <f>_xlfn.XLOOKUP($C160,mlb_ids!E:E,mlb_ids!A:A,"xxx")</f>
        <v>696285</v>
      </c>
      <c r="C160" s="11" t="s">
        <v>89</v>
      </c>
      <c r="D160" s="2" t="s">
        <v>89</v>
      </c>
      <c r="E160" s="2" t="s">
        <v>89</v>
      </c>
      <c r="F160" s="10" t="s">
        <v>2195</v>
      </c>
      <c r="G160" s="10">
        <v>8</v>
      </c>
      <c r="H160" s="10" t="str">
        <f>_xlfn.XLOOKUP($E160,'games played'!$A:$A,'games played'!K:K,"xxx")</f>
        <v>CF</v>
      </c>
      <c r="I160" s="10" t="b">
        <f>_xlfn.XLOOKUP($E160,'games played'!$A:$A,'games played'!L:L,"xxx")</f>
        <v>0</v>
      </c>
    </row>
    <row r="161" spans="1:9" x14ac:dyDescent="0.2">
      <c r="A161" s="1">
        <v>160</v>
      </c>
      <c r="B161" s="1">
        <f>_xlfn.XLOOKUP($C161,mlb_ids!E:E,mlb_ids!A:A,"xxx")</f>
        <v>668939</v>
      </c>
      <c r="C161" s="11" t="s">
        <v>472</v>
      </c>
      <c r="D161" s="2" t="s">
        <v>472</v>
      </c>
      <c r="E161" s="2" t="s">
        <v>472</v>
      </c>
      <c r="F161" s="10" t="s">
        <v>2212</v>
      </c>
      <c r="G161" s="10">
        <v>8</v>
      </c>
      <c r="H161" s="10" t="str">
        <f>_xlfn.XLOOKUP($E161,'games played'!$A:$A,'games played'!K:K,"xxx")</f>
        <v>C</v>
      </c>
      <c r="I161" s="10" t="b">
        <f>_xlfn.XLOOKUP($E161,'games played'!$A:$A,'games played'!L:L,"xxx")</f>
        <v>0</v>
      </c>
    </row>
    <row r="162" spans="1:9" x14ac:dyDescent="0.2">
      <c r="A162" s="1">
        <v>161</v>
      </c>
      <c r="B162" s="1">
        <f>_xlfn.XLOOKUP($C162,mlb_ids!E:E,mlb_ids!A:A,"xxx")</f>
        <v>690993</v>
      </c>
      <c r="C162" s="11" t="s">
        <v>347</v>
      </c>
      <c r="D162" s="2" t="s">
        <v>347</v>
      </c>
      <c r="E162" s="2" t="s">
        <v>347</v>
      </c>
      <c r="F162" s="10" t="s">
        <v>2217</v>
      </c>
      <c r="G162" s="10">
        <v>8</v>
      </c>
      <c r="H162" s="10" t="str">
        <f>_xlfn.XLOOKUP($E162,'games played'!$A:$A,'games played'!K:K,"xxx")</f>
        <v>3B</v>
      </c>
      <c r="I162" s="10" t="b">
        <f>_xlfn.XLOOKUP($E162,'games played'!$A:$A,'games played'!L:L,"xxx")</f>
        <v>0</v>
      </c>
    </row>
    <row r="163" spans="1:9" x14ac:dyDescent="0.2">
      <c r="A163" s="1">
        <v>162</v>
      </c>
      <c r="B163" s="1">
        <f>_xlfn.XLOOKUP($C163,mlb_ids!E:E,mlb_ids!A:A,"xxx")</f>
        <v>701675</v>
      </c>
      <c r="C163" s="11" t="s">
        <v>348</v>
      </c>
      <c r="D163" s="2" t="s">
        <v>348</v>
      </c>
      <c r="E163" s="2" t="s">
        <v>348</v>
      </c>
      <c r="F163" s="10" t="s">
        <v>2199</v>
      </c>
      <c r="G163" s="10">
        <v>8</v>
      </c>
      <c r="H163" s="10" t="str">
        <f>_xlfn.XLOOKUP($E163,'games played'!$A:$A,'games played'!K:K,"xxx")</f>
        <v>CF</v>
      </c>
      <c r="I163" s="10" t="b">
        <f>_xlfn.XLOOKUP($E163,'games played'!$A:$A,'games played'!L:L,"xxx")</f>
        <v>0</v>
      </c>
    </row>
    <row r="164" spans="1:9" x14ac:dyDescent="0.2">
      <c r="A164" s="1">
        <v>163</v>
      </c>
      <c r="B164" s="1">
        <f>_xlfn.XLOOKUP($C164,mlb_ids!E:E,mlb_ids!A:A,"xxx")</f>
        <v>606192</v>
      </c>
      <c r="C164" s="11" t="s">
        <v>90</v>
      </c>
      <c r="D164" s="2" t="s">
        <v>90</v>
      </c>
      <c r="E164" s="2" t="s">
        <v>580</v>
      </c>
      <c r="F164" s="10" t="s">
        <v>2201</v>
      </c>
      <c r="G164" s="10">
        <v>8</v>
      </c>
      <c r="H164" s="10" t="str">
        <f>_xlfn.XLOOKUP($E164,'games played'!$A:$A,'games played'!K:K,"xxx")</f>
        <v>LF</v>
      </c>
      <c r="I164" s="10" t="b">
        <f>_xlfn.XLOOKUP($E164,'games played'!$A:$A,'games played'!L:L,"xxx")</f>
        <v>0</v>
      </c>
    </row>
    <row r="165" spans="1:9" x14ac:dyDescent="0.2">
      <c r="A165" s="1">
        <v>164</v>
      </c>
      <c r="B165" s="1">
        <f>_xlfn.XLOOKUP($C165,mlb_ids!E:E,mlb_ids!A:A,"xxx")</f>
        <v>542303</v>
      </c>
      <c r="C165" s="11" t="s">
        <v>91</v>
      </c>
      <c r="D165" s="2" t="s">
        <v>91</v>
      </c>
      <c r="E165" s="2" t="s">
        <v>91</v>
      </c>
      <c r="F165" s="10" t="s">
        <v>2203</v>
      </c>
      <c r="G165" s="10">
        <v>8</v>
      </c>
      <c r="H165" s="10" t="str">
        <f>_xlfn.XLOOKUP($E165,'games played'!$A:$A,'games played'!K:K,"xxx")</f>
        <v>DH</v>
      </c>
      <c r="I165" s="10" t="b">
        <f>_xlfn.XLOOKUP($E165,'games played'!$A:$A,'games played'!L:L,"xxx")</f>
        <v>0</v>
      </c>
    </row>
    <row r="166" spans="1:9" x14ac:dyDescent="0.2">
      <c r="A166" s="1">
        <v>165</v>
      </c>
      <c r="B166" s="1">
        <f>_xlfn.XLOOKUP($C166,mlb_ids!E:E,mlb_ids!A:A,"xxx")</f>
        <v>671218</v>
      </c>
      <c r="C166" s="11" t="s">
        <v>92</v>
      </c>
      <c r="D166" s="2" t="s">
        <v>92</v>
      </c>
      <c r="E166" s="2" t="s">
        <v>92</v>
      </c>
      <c r="F166" s="10" t="s">
        <v>2221</v>
      </c>
      <c r="G166" s="10">
        <v>8</v>
      </c>
      <c r="H166" s="10" t="str">
        <f>_xlfn.XLOOKUP($E166,'games played'!$A:$A,'games played'!K:K,"xxx")</f>
        <v>LF</v>
      </c>
      <c r="I166" s="10" t="b">
        <f>_xlfn.XLOOKUP($E166,'games played'!$A:$A,'games played'!L:L,"xxx")</f>
        <v>0</v>
      </c>
    </row>
    <row r="167" spans="1:9" x14ac:dyDescent="0.2">
      <c r="A167" s="1">
        <v>166</v>
      </c>
      <c r="B167" s="1">
        <f>_xlfn.XLOOKUP($C167,mlb_ids!E:E,mlb_ids!A:A,"xxx")</f>
        <v>681297</v>
      </c>
      <c r="C167" s="11" t="s">
        <v>349</v>
      </c>
      <c r="D167" s="2" t="s">
        <v>349</v>
      </c>
      <c r="E167" s="2" t="s">
        <v>349</v>
      </c>
      <c r="F167" s="10" t="s">
        <v>2212</v>
      </c>
      <c r="G167" s="10">
        <v>8</v>
      </c>
      <c r="H167" s="10" t="str">
        <f>_xlfn.XLOOKUP($E167,'games played'!$A:$A,'games played'!K:K,"xxx")</f>
        <v>CF</v>
      </c>
      <c r="I167" s="10" t="b">
        <f>_xlfn.XLOOKUP($E167,'games played'!$A:$A,'games played'!L:L,"xxx")</f>
        <v>0</v>
      </c>
    </row>
    <row r="168" spans="1:9" x14ac:dyDescent="0.2">
      <c r="A168" s="1">
        <v>167</v>
      </c>
      <c r="B168" s="1">
        <f>_xlfn.XLOOKUP($C168,mlb_ids!E:E,mlb_ids!A:A,"xxx")</f>
        <v>805811</v>
      </c>
      <c r="C168" s="11" t="s">
        <v>350</v>
      </c>
      <c r="D168" s="2" t="s">
        <v>350</v>
      </c>
      <c r="E168" s="2" t="s">
        <v>350</v>
      </c>
      <c r="F168" s="10" t="s">
        <v>2221</v>
      </c>
      <c r="G168" s="10">
        <v>8</v>
      </c>
      <c r="H168" s="10" t="str">
        <f>_xlfn.XLOOKUP($E168,'games played'!$A:$A,'games played'!K:K,"xxx")</f>
        <v>DH</v>
      </c>
      <c r="I168" s="10" t="b">
        <f>_xlfn.XLOOKUP($E168,'games played'!$A:$A,'games played'!L:L,"xxx")</f>
        <v>0</v>
      </c>
    </row>
    <row r="169" spans="1:9" x14ac:dyDescent="0.2">
      <c r="A169" s="1">
        <v>168</v>
      </c>
      <c r="B169" s="1">
        <f>_xlfn.XLOOKUP($C169,mlb_ids!E:E,mlb_ids!A:A,"xxx")</f>
        <v>680779</v>
      </c>
      <c r="C169" s="11" t="s">
        <v>93</v>
      </c>
      <c r="D169" s="2" t="s">
        <v>93</v>
      </c>
      <c r="E169" s="2" t="s">
        <v>93</v>
      </c>
      <c r="F169" s="10" t="s">
        <v>2203</v>
      </c>
      <c r="G169" s="10">
        <v>8</v>
      </c>
      <c r="H169" s="10" t="str">
        <f>_xlfn.XLOOKUP($E169,'games played'!$A:$A,'games played'!K:K,"xxx")</f>
        <v>C</v>
      </c>
      <c r="I169" s="10" t="b">
        <f>_xlfn.XLOOKUP($E169,'games played'!$A:$A,'games played'!L:L,"xxx")</f>
        <v>0</v>
      </c>
    </row>
    <row r="170" spans="1:9" x14ac:dyDescent="0.2">
      <c r="A170" s="1">
        <v>169</v>
      </c>
      <c r="B170" s="1">
        <f>_xlfn.XLOOKUP($C170,mlb_ids!E:E,mlb_ids!A:A,"xxx")</f>
        <v>666139</v>
      </c>
      <c r="C170" s="11" t="s">
        <v>351</v>
      </c>
      <c r="D170" s="2" t="s">
        <v>351</v>
      </c>
      <c r="E170" s="2" t="s">
        <v>351</v>
      </c>
      <c r="F170" s="10" t="s">
        <v>2210</v>
      </c>
      <c r="G170" s="10">
        <v>8</v>
      </c>
      <c r="H170" s="10" t="str">
        <f>_xlfn.XLOOKUP($E170,'games played'!$A:$A,'games played'!K:K,"xxx")</f>
        <v>LF</v>
      </c>
      <c r="I170" s="10" t="b">
        <f>_xlfn.XLOOKUP($E170,'games played'!$A:$A,'games played'!L:L,"xxx")</f>
        <v>0</v>
      </c>
    </row>
    <row r="171" spans="1:9" x14ac:dyDescent="0.2">
      <c r="A171" s="1">
        <v>170</v>
      </c>
      <c r="B171" s="1">
        <f>_xlfn.XLOOKUP($C171,mlb_ids!E:E,mlb_ids!A:A,"xxx")</f>
        <v>596142</v>
      </c>
      <c r="C171" s="11" t="s">
        <v>94</v>
      </c>
      <c r="D171" s="2" t="s">
        <v>94</v>
      </c>
      <c r="E171" s="2" t="s">
        <v>659</v>
      </c>
      <c r="F171" s="10" t="s">
        <v>2204</v>
      </c>
      <c r="G171" s="10">
        <v>8</v>
      </c>
      <c r="H171" s="10" t="str">
        <f>_xlfn.XLOOKUP($E171,'games played'!$A:$A,'games played'!K:K,"xxx")</f>
        <v>C</v>
      </c>
      <c r="I171" s="10" t="b">
        <f>_xlfn.XLOOKUP($E171,'games played'!$A:$A,'games played'!L:L,"xxx")</f>
        <v>0</v>
      </c>
    </row>
    <row r="172" spans="1:9" x14ac:dyDescent="0.2">
      <c r="A172" s="1">
        <v>171</v>
      </c>
      <c r="B172" s="1">
        <f>_xlfn.XLOOKUP($C172,mlb_ids!E:E,mlb_ids!A:A,"xxx")</f>
        <v>624424</v>
      </c>
      <c r="C172" s="11" t="s">
        <v>352</v>
      </c>
      <c r="D172" s="2" t="s">
        <v>352</v>
      </c>
      <c r="E172" s="2" t="s">
        <v>352</v>
      </c>
      <c r="F172" s="10" t="s">
        <v>2197</v>
      </c>
      <c r="G172" s="10">
        <v>8</v>
      </c>
      <c r="H172" s="10" t="str">
        <f>_xlfn.XLOOKUP($E172,'games played'!$A:$A,'games played'!K:K,"xxx")</f>
        <v>RF</v>
      </c>
      <c r="I172" s="10" t="b">
        <f>_xlfn.XLOOKUP($E172,'games played'!$A:$A,'games played'!L:L,"xxx")</f>
        <v>1</v>
      </c>
    </row>
    <row r="173" spans="1:9" x14ac:dyDescent="0.2">
      <c r="A173" s="1">
        <v>172</v>
      </c>
      <c r="B173" s="1">
        <f>_xlfn.XLOOKUP($C173,mlb_ids!E:E,mlb_ids!A:A,"xxx")</f>
        <v>805367</v>
      </c>
      <c r="C173" s="11" t="s">
        <v>95</v>
      </c>
      <c r="D173" s="2" t="s">
        <v>95</v>
      </c>
      <c r="E173" s="2" t="s">
        <v>95</v>
      </c>
      <c r="F173" s="10" t="s">
        <v>2206</v>
      </c>
      <c r="G173" s="10">
        <v>7</v>
      </c>
      <c r="H173" s="10" t="str">
        <f>_xlfn.XLOOKUP($E173,'games played'!$A:$A,'games played'!K:K,"xxx")</f>
        <v>2B</v>
      </c>
      <c r="I173" s="10" t="b">
        <f>_xlfn.XLOOKUP($E173,'games played'!$A:$A,'games played'!L:L,"xxx")</f>
        <v>0</v>
      </c>
    </row>
    <row r="174" spans="1:9" x14ac:dyDescent="0.2">
      <c r="A174" s="1">
        <v>173</v>
      </c>
      <c r="B174" s="1">
        <f>_xlfn.XLOOKUP($C174,mlb_ids!E:E,mlb_ids!A:A,"xxx")</f>
        <v>663656</v>
      </c>
      <c r="C174" s="11" t="s">
        <v>353</v>
      </c>
      <c r="D174" s="2" t="s">
        <v>353</v>
      </c>
      <c r="E174" s="2" t="s">
        <v>353</v>
      </c>
      <c r="F174" s="10" t="s">
        <v>2201</v>
      </c>
      <c r="G174" s="10">
        <v>7</v>
      </c>
      <c r="H174" s="10" t="str">
        <f>_xlfn.XLOOKUP($E174,'games played'!$A:$A,'games played'!K:K,"xxx")</f>
        <v>RF</v>
      </c>
      <c r="I174" s="10" t="b">
        <f>_xlfn.XLOOKUP($E174,'games played'!$A:$A,'games played'!L:L,"xxx")</f>
        <v>0</v>
      </c>
    </row>
    <row r="175" spans="1:9" x14ac:dyDescent="0.2">
      <c r="A175" s="1">
        <v>174</v>
      </c>
      <c r="B175" s="1">
        <f>_xlfn.XLOOKUP($C175,mlb_ids!E:E,mlb_ids!A:A,"xxx")</f>
        <v>681082</v>
      </c>
      <c r="C175" s="11" t="s">
        <v>354</v>
      </c>
      <c r="D175" s="2" t="s">
        <v>354</v>
      </c>
      <c r="E175" s="2" t="s">
        <v>354</v>
      </c>
      <c r="F175" s="10" t="s">
        <v>2202</v>
      </c>
      <c r="G175" s="10">
        <v>7</v>
      </c>
      <c r="H175" s="10" t="str">
        <f>_xlfn.XLOOKUP($E175,'games played'!$A:$A,'games played'!K:K,"xxx")</f>
        <v>2B</v>
      </c>
      <c r="I175" s="10" t="b">
        <f>_xlfn.XLOOKUP($E175,'games played'!$A:$A,'games played'!L:L,"xxx")</f>
        <v>0</v>
      </c>
    </row>
    <row r="176" spans="1:9" x14ac:dyDescent="0.2">
      <c r="A176" s="1">
        <v>175</v>
      </c>
      <c r="B176" s="1">
        <f>_xlfn.XLOOKUP($C176,mlb_ids!E:E,mlb_ids!A:A,"xxx")</f>
        <v>656305</v>
      </c>
      <c r="C176" s="11" t="s">
        <v>96</v>
      </c>
      <c r="D176" s="2" t="s">
        <v>96</v>
      </c>
      <c r="E176" s="2" t="s">
        <v>96</v>
      </c>
      <c r="F176" s="10" t="s">
        <v>2221</v>
      </c>
      <c r="G176" s="10">
        <v>7</v>
      </c>
      <c r="H176" s="10" t="str">
        <f>_xlfn.XLOOKUP($E176,'games played'!$A:$A,'games played'!K:K,"xxx")</f>
        <v>3B</v>
      </c>
      <c r="I176" s="10" t="b">
        <f>_xlfn.XLOOKUP($E176,'games played'!$A:$A,'games played'!L:L,"xxx")</f>
        <v>0</v>
      </c>
    </row>
    <row r="177" spans="1:9" x14ac:dyDescent="0.2">
      <c r="A177" s="1">
        <v>176</v>
      </c>
      <c r="B177" s="1">
        <f>_xlfn.XLOOKUP($C177,mlb_ids!E:E,mlb_ids!A:A,"xxx")</f>
        <v>650489</v>
      </c>
      <c r="C177" s="11" t="s">
        <v>473</v>
      </c>
      <c r="D177" s="2" t="s">
        <v>473</v>
      </c>
      <c r="E177" s="2" t="s">
        <v>473</v>
      </c>
      <c r="F177" s="10" t="s">
        <v>2214</v>
      </c>
      <c r="G177" s="10">
        <v>7</v>
      </c>
      <c r="H177" s="10" t="str">
        <f>_xlfn.XLOOKUP($E177,'games played'!$A:$A,'games played'!K:K,"xxx")</f>
        <v>2B</v>
      </c>
      <c r="I177" s="10" t="b">
        <f>_xlfn.XLOOKUP($E177,'games played'!$A:$A,'games played'!L:L,"xxx")</f>
        <v>0</v>
      </c>
    </row>
    <row r="178" spans="1:9" x14ac:dyDescent="0.2">
      <c r="A178" s="1">
        <v>177</v>
      </c>
      <c r="B178" s="1">
        <f>_xlfn.XLOOKUP($C178,mlb_ids!E:E,mlb_ids!A:A,"xxx")</f>
        <v>665926</v>
      </c>
      <c r="C178" s="11" t="s">
        <v>355</v>
      </c>
      <c r="D178" s="2" t="s">
        <v>355</v>
      </c>
      <c r="E178" s="2" t="s">
        <v>571</v>
      </c>
      <c r="F178" s="10" t="s">
        <v>2220</v>
      </c>
      <c r="G178" s="10">
        <v>7</v>
      </c>
      <c r="H178" s="10" t="str">
        <f>_xlfn.XLOOKUP($E178,'games played'!$A:$A,'games played'!K:K,"xxx")</f>
        <v>SS</v>
      </c>
      <c r="I178" s="10" t="b">
        <f>_xlfn.XLOOKUP($E178,'games played'!$A:$A,'games played'!L:L,"xxx")</f>
        <v>0</v>
      </c>
    </row>
    <row r="179" spans="1:9" x14ac:dyDescent="0.2">
      <c r="A179" s="1">
        <v>178</v>
      </c>
      <c r="B179" s="1">
        <f>_xlfn.XLOOKUP($C179,mlb_ids!E:E,mlb_ids!A:A,"xxx")</f>
        <v>662139</v>
      </c>
      <c r="C179" s="11" t="s">
        <v>356</v>
      </c>
      <c r="D179" s="2" t="s">
        <v>356</v>
      </c>
      <c r="E179" s="2" t="s">
        <v>356</v>
      </c>
      <c r="F179" s="10" t="s">
        <v>2220</v>
      </c>
      <c r="G179" s="10">
        <v>7</v>
      </c>
      <c r="H179" s="10" t="str">
        <f>_xlfn.XLOOKUP($E179,'games played'!$A:$A,'games played'!K:K,"xxx")</f>
        <v>CF</v>
      </c>
      <c r="I179" s="10" t="b">
        <f>_xlfn.XLOOKUP($E179,'games played'!$A:$A,'games played'!L:L,"xxx")</f>
        <v>0</v>
      </c>
    </row>
    <row r="180" spans="1:9" x14ac:dyDescent="0.2">
      <c r="A180" s="1">
        <v>179</v>
      </c>
      <c r="B180" s="1">
        <f>_xlfn.XLOOKUP($C180,mlb_ids!E:E,mlb_ids!A:A,"xxx")</f>
        <v>545121</v>
      </c>
      <c r="C180" s="11" t="s">
        <v>474</v>
      </c>
      <c r="D180" s="2" t="s">
        <v>474</v>
      </c>
      <c r="E180" s="2" t="s">
        <v>474</v>
      </c>
      <c r="F180" s="10" t="s">
        <v>2215</v>
      </c>
      <c r="G180" s="10">
        <v>7</v>
      </c>
      <c r="H180" s="10" t="str">
        <f>_xlfn.XLOOKUP($E180,'games played'!$A:$A,'games played'!K:K,"xxx")</f>
        <v>1B</v>
      </c>
      <c r="I180" s="10" t="b">
        <f>_xlfn.XLOOKUP($E180,'games played'!$A:$A,'games played'!L:L,"xxx")</f>
        <v>0</v>
      </c>
    </row>
    <row r="181" spans="1:9" x14ac:dyDescent="0.2">
      <c r="A181" s="1">
        <v>180</v>
      </c>
      <c r="B181" s="1">
        <f>_xlfn.XLOOKUP($C181,mlb_ids!E:E,mlb_ids!A:A,"xxx")</f>
        <v>663616</v>
      </c>
      <c r="C181" s="11" t="s">
        <v>357</v>
      </c>
      <c r="D181" s="2" t="s">
        <v>357</v>
      </c>
      <c r="E181" s="2" t="s">
        <v>357</v>
      </c>
      <c r="F181" s="10" t="s">
        <v>2218</v>
      </c>
      <c r="G181" s="10">
        <v>7</v>
      </c>
      <c r="H181" s="10" t="str">
        <f>_xlfn.XLOOKUP($E181,'games played'!$A:$A,'games played'!K:K,"xxx")</f>
        <v>LF</v>
      </c>
      <c r="I181" s="10" t="b">
        <f>_xlfn.XLOOKUP($E181,'games played'!$A:$A,'games played'!L:L,"xxx")</f>
        <v>0</v>
      </c>
    </row>
    <row r="182" spans="1:9" x14ac:dyDescent="0.2">
      <c r="A182" s="1">
        <v>181</v>
      </c>
      <c r="B182" s="1">
        <f>_xlfn.XLOOKUP($C182,mlb_ids!E:E,mlb_ids!A:A,"xxx")</f>
        <v>683953</v>
      </c>
      <c r="C182" s="11" t="s">
        <v>358</v>
      </c>
      <c r="D182" s="2" t="s">
        <v>358</v>
      </c>
      <c r="E182" s="2" t="s">
        <v>358</v>
      </c>
      <c r="F182" s="10" t="s">
        <v>2224</v>
      </c>
      <c r="G182" s="10">
        <v>7</v>
      </c>
      <c r="H182" s="10" t="str">
        <f>_xlfn.XLOOKUP($E182,'games played'!$A:$A,'games played'!K:K,"xxx")</f>
        <v>2B</v>
      </c>
      <c r="I182" s="10" t="b">
        <f>_xlfn.XLOOKUP($E182,'games played'!$A:$A,'games played'!L:L,"xxx")</f>
        <v>0</v>
      </c>
    </row>
    <row r="183" spans="1:9" x14ac:dyDescent="0.2">
      <c r="A183" s="1">
        <v>182</v>
      </c>
      <c r="B183" s="1">
        <f>_xlfn.XLOOKUP($C183,mlb_ids!E:E,mlb_ids!A:A,"xxx")</f>
        <v>672724</v>
      </c>
      <c r="C183" s="11" t="s">
        <v>97</v>
      </c>
      <c r="D183" s="2" t="s">
        <v>97</v>
      </c>
      <c r="E183" s="2" t="s">
        <v>97</v>
      </c>
      <c r="F183" s="10" t="s">
        <v>2210</v>
      </c>
      <c r="G183" s="10">
        <v>7</v>
      </c>
      <c r="H183" s="10" t="str">
        <f>_xlfn.XLOOKUP($E183,'games played'!$A:$A,'games played'!K:K,"xxx")</f>
        <v>2B</v>
      </c>
      <c r="I183" s="10" t="b">
        <f>_xlfn.XLOOKUP($E183,'games played'!$A:$A,'games played'!L:L,"xxx")</f>
        <v>0</v>
      </c>
    </row>
    <row r="184" spans="1:9" x14ac:dyDescent="0.2">
      <c r="A184" s="1">
        <v>183</v>
      </c>
      <c r="B184" s="1">
        <f>_xlfn.XLOOKUP($C184,mlb_ids!E:E,mlb_ids!A:A,"xxx")</f>
        <v>657041</v>
      </c>
      <c r="C184" s="11" t="s">
        <v>98</v>
      </c>
      <c r="D184" s="2" t="s">
        <v>98</v>
      </c>
      <c r="E184" s="2" t="s">
        <v>98</v>
      </c>
      <c r="F184" s="10" t="s">
        <v>2209</v>
      </c>
      <c r="G184" s="10">
        <v>7</v>
      </c>
      <c r="H184" s="10" t="str">
        <f>_xlfn.XLOOKUP($E184,'games played'!$A:$A,'games played'!K:K,"xxx")</f>
        <v>CF</v>
      </c>
      <c r="I184" s="10" t="b">
        <f>_xlfn.XLOOKUP($E184,'games played'!$A:$A,'games played'!L:L,"xxx")</f>
        <v>0</v>
      </c>
    </row>
    <row r="185" spans="1:9" x14ac:dyDescent="0.2">
      <c r="A185" s="1">
        <v>184</v>
      </c>
      <c r="B185" s="1">
        <f>_xlfn.XLOOKUP($C185,mlb_ids!E:E,mlb_ids!A:A,"xxx")</f>
        <v>694497</v>
      </c>
      <c r="C185" s="11" t="s">
        <v>359</v>
      </c>
      <c r="D185" s="2" t="s">
        <v>359</v>
      </c>
      <c r="E185" s="2" t="s">
        <v>359</v>
      </c>
      <c r="F185" s="10" t="s">
        <v>2223</v>
      </c>
      <c r="G185" s="10">
        <v>7</v>
      </c>
      <c r="H185" s="10" t="str">
        <f>_xlfn.XLOOKUP($E185,'games played'!$A:$A,'games played'!K:K,"xxx")</f>
        <v>CF</v>
      </c>
      <c r="I185" s="10" t="b">
        <f>_xlfn.XLOOKUP($E185,'games played'!$A:$A,'games played'!L:L,"xxx")</f>
        <v>0</v>
      </c>
    </row>
    <row r="186" spans="1:9" x14ac:dyDescent="0.2">
      <c r="A186" s="1">
        <v>185</v>
      </c>
      <c r="B186" s="1">
        <f>_xlfn.XLOOKUP($C186,mlb_ids!E:E,mlb_ids!A:A,"xxx")</f>
        <v>605170</v>
      </c>
      <c r="C186" s="11" t="s">
        <v>475</v>
      </c>
      <c r="D186" s="2" t="s">
        <v>475</v>
      </c>
      <c r="E186" s="2" t="s">
        <v>475</v>
      </c>
      <c r="F186" s="10" t="s">
        <v>2218</v>
      </c>
      <c r="G186" s="10">
        <v>7</v>
      </c>
      <c r="H186" s="10" t="str">
        <f>_xlfn.XLOOKUP($E186,'games played'!$A:$A,'games played'!K:K,"xxx")</f>
        <v>C</v>
      </c>
      <c r="I186" s="10" t="b">
        <f>_xlfn.XLOOKUP($E186,'games played'!$A:$A,'games played'!L:L,"xxx")</f>
        <v>0</v>
      </c>
    </row>
    <row r="187" spans="1:9" x14ac:dyDescent="0.2">
      <c r="A187" s="1">
        <v>186</v>
      </c>
      <c r="B187" s="1">
        <f>_xlfn.XLOOKUP($C187,mlb_ids!E:E,mlb_ids!A:A,"xxx")</f>
        <v>666969</v>
      </c>
      <c r="C187" s="11" t="s">
        <v>99</v>
      </c>
      <c r="D187" s="2" t="s">
        <v>99</v>
      </c>
      <c r="E187" s="2" t="s">
        <v>568</v>
      </c>
      <c r="F187" s="10" t="s">
        <v>2202</v>
      </c>
      <c r="G187" s="10">
        <v>7</v>
      </c>
      <c r="H187" s="10" t="str">
        <f>_xlfn.XLOOKUP($E187,'games played'!$A:$A,'games played'!K:K,"xxx")</f>
        <v>RF</v>
      </c>
      <c r="I187" s="10" t="b">
        <f>_xlfn.XLOOKUP($E187,'games played'!$A:$A,'games played'!L:L,"xxx")</f>
        <v>0</v>
      </c>
    </row>
    <row r="188" spans="1:9" x14ac:dyDescent="0.2">
      <c r="A188" s="1">
        <v>187</v>
      </c>
      <c r="B188" s="1">
        <f>_xlfn.XLOOKUP($C188,mlb_ids!E:E,mlb_ids!A:A,"xxx")</f>
        <v>592663</v>
      </c>
      <c r="C188" s="11" t="s">
        <v>100</v>
      </c>
      <c r="D188" s="2" t="s">
        <v>100</v>
      </c>
      <c r="E188" s="2" t="s">
        <v>100</v>
      </c>
      <c r="F188" s="10" t="s">
        <v>2202</v>
      </c>
      <c r="G188" s="10">
        <v>7</v>
      </c>
      <c r="H188" s="10" t="str">
        <f>_xlfn.XLOOKUP($E188,'games played'!$A:$A,'games played'!K:K,"xxx")</f>
        <v>C</v>
      </c>
      <c r="I188" s="10" t="b">
        <f>_xlfn.XLOOKUP($E188,'games played'!$A:$A,'games played'!L:L,"xxx")</f>
        <v>0</v>
      </c>
    </row>
    <row r="189" spans="1:9" x14ac:dyDescent="0.2">
      <c r="A189" s="1">
        <v>188</v>
      </c>
      <c r="B189" s="1">
        <f>_xlfn.XLOOKUP($C189,mlb_ids!E:E,mlb_ids!A:A,"xxx")</f>
        <v>686681</v>
      </c>
      <c r="C189" s="11" t="s">
        <v>360</v>
      </c>
      <c r="D189" s="2" t="s">
        <v>360</v>
      </c>
      <c r="E189" s="2" t="s">
        <v>360</v>
      </c>
      <c r="F189" s="10" t="s">
        <v>2209</v>
      </c>
      <c r="G189" s="10">
        <v>7</v>
      </c>
      <c r="H189" s="10" t="str">
        <f>_xlfn.XLOOKUP($E189,'games played'!$A:$A,'games played'!K:K,"xxx")</f>
        <v>2B</v>
      </c>
      <c r="I189" s="10" t="b">
        <f>_xlfn.XLOOKUP($E189,'games played'!$A:$A,'games played'!L:L,"xxx")</f>
        <v>0</v>
      </c>
    </row>
    <row r="190" spans="1:9" x14ac:dyDescent="0.2">
      <c r="A190" s="1">
        <v>189</v>
      </c>
      <c r="B190" s="1">
        <f>_xlfn.XLOOKUP($C190,mlb_ids!E:E,mlb_ids!A:A,"xxx")</f>
        <v>660670</v>
      </c>
      <c r="C190" s="11" t="s">
        <v>101</v>
      </c>
      <c r="D190" s="2" t="s">
        <v>101</v>
      </c>
      <c r="E190" s="2" t="s">
        <v>523</v>
      </c>
      <c r="F190" s="10" t="s">
        <v>2207</v>
      </c>
      <c r="G190" s="10">
        <v>7</v>
      </c>
      <c r="H190" s="10" t="str">
        <f>_xlfn.XLOOKUP($E190,'games played'!$A:$A,'games played'!K:K,"xxx")</f>
        <v>RF</v>
      </c>
      <c r="I190" s="10" t="b">
        <f>_xlfn.XLOOKUP($E190,'games played'!$A:$A,'games played'!L:L,"xxx")</f>
        <v>0</v>
      </c>
    </row>
    <row r="191" spans="1:9" x14ac:dyDescent="0.2">
      <c r="A191" s="1">
        <v>190</v>
      </c>
      <c r="B191" s="1">
        <f>_xlfn.XLOOKUP($C191,mlb_ids!E:E,mlb_ids!A:A,"xxx")</f>
        <v>660821</v>
      </c>
      <c r="C191" s="11" t="s">
        <v>361</v>
      </c>
      <c r="D191" s="2" t="s">
        <v>361</v>
      </c>
      <c r="E191" s="2" t="s">
        <v>660</v>
      </c>
      <c r="F191" s="10" t="s">
        <v>2220</v>
      </c>
      <c r="G191" s="10">
        <v>7</v>
      </c>
      <c r="H191" s="10" t="str">
        <f>_xlfn.XLOOKUP($E191,'games played'!$A:$A,'games played'!K:K,"xxx")</f>
        <v>RF</v>
      </c>
      <c r="I191" s="10" t="b">
        <f>_xlfn.XLOOKUP($E191,'games played'!$A:$A,'games played'!L:L,"xxx")</f>
        <v>0</v>
      </c>
    </row>
    <row r="192" spans="1:9" x14ac:dyDescent="0.2">
      <c r="A192" s="1">
        <v>191</v>
      </c>
      <c r="B192" s="1">
        <f>_xlfn.XLOOKUP($C192,mlb_ids!E:E,mlb_ids!A:A,"xxx")</f>
        <v>669357</v>
      </c>
      <c r="C192" s="11" t="s">
        <v>362</v>
      </c>
      <c r="D192" s="2" t="s">
        <v>362</v>
      </c>
      <c r="E192" s="2" t="s">
        <v>362</v>
      </c>
      <c r="F192" s="10" t="s">
        <v>2199</v>
      </c>
      <c r="G192" s="10">
        <v>7</v>
      </c>
      <c r="H192" s="10" t="str">
        <f>_xlfn.XLOOKUP($E192,'games played'!$A:$A,'games played'!K:K,"xxx")</f>
        <v>3B</v>
      </c>
      <c r="I192" s="10" t="b">
        <f>_xlfn.XLOOKUP($E192,'games played'!$A:$A,'games played'!L:L,"xxx")</f>
        <v>0</v>
      </c>
    </row>
    <row r="193" spans="1:9" x14ac:dyDescent="0.2">
      <c r="A193" s="1">
        <v>192</v>
      </c>
      <c r="B193" s="1">
        <f>_xlfn.XLOOKUP($C193,mlb_ids!E:E,mlb_ids!A:A,"xxx")</f>
        <v>694728</v>
      </c>
      <c r="C193" s="11" t="s">
        <v>102</v>
      </c>
      <c r="D193" s="2" t="s">
        <v>102</v>
      </c>
      <c r="E193" s="2" t="s">
        <v>102</v>
      </c>
      <c r="F193" s="10" t="s">
        <v>2196</v>
      </c>
      <c r="G193" s="10">
        <v>7</v>
      </c>
      <c r="H193" s="10" t="str">
        <f>_xlfn.XLOOKUP($E193,'games played'!$A:$A,'games played'!K:K,"xxx")</f>
        <v>LF</v>
      </c>
      <c r="I193" s="10" t="b">
        <f>_xlfn.XLOOKUP($E193,'games played'!$A:$A,'games played'!L:L,"xxx")</f>
        <v>1</v>
      </c>
    </row>
    <row r="194" spans="1:9" x14ac:dyDescent="0.2">
      <c r="A194" s="1">
        <v>193</v>
      </c>
      <c r="B194" s="1">
        <f>_xlfn.XLOOKUP($C194,mlb_ids!E:E,mlb_ids!A:A,"xxx")</f>
        <v>805999</v>
      </c>
      <c r="C194" s="11" t="s">
        <v>363</v>
      </c>
      <c r="D194" s="2" t="s">
        <v>363</v>
      </c>
      <c r="E194" s="2" t="s">
        <v>363</v>
      </c>
      <c r="F194" s="10" t="s">
        <v>2219</v>
      </c>
      <c r="G194" s="10">
        <v>7</v>
      </c>
      <c r="H194" s="10" t="str">
        <f>_xlfn.XLOOKUP($E194,'games played'!$A:$A,'games played'!K:K,"xxx")</f>
        <v>CF</v>
      </c>
      <c r="I194" s="10" t="b">
        <f>_xlfn.XLOOKUP($E194,'games played'!$A:$A,'games played'!L:L,"xxx")</f>
        <v>0</v>
      </c>
    </row>
    <row r="195" spans="1:9" x14ac:dyDescent="0.2">
      <c r="A195" s="1">
        <v>194</v>
      </c>
      <c r="B195" s="1">
        <f>_xlfn.XLOOKUP($C195,mlb_ids!E:E,mlb_ids!A:A,"xxx")</f>
        <v>669236</v>
      </c>
      <c r="C195" s="11" t="s">
        <v>103</v>
      </c>
      <c r="D195" s="2" t="s">
        <v>103</v>
      </c>
      <c r="E195" s="2" t="s">
        <v>103</v>
      </c>
      <c r="F195" s="10" t="s">
        <v>2212</v>
      </c>
      <c r="G195" s="10">
        <v>7</v>
      </c>
      <c r="H195" s="10" t="str">
        <f>_xlfn.XLOOKUP($E195,'games played'!$A:$A,'games played'!K:K,"xxx")</f>
        <v>2B</v>
      </c>
      <c r="I195" s="10" t="b">
        <f>_xlfn.XLOOKUP($E195,'games played'!$A:$A,'games played'!L:L,"xxx")</f>
        <v>0</v>
      </c>
    </row>
    <row r="196" spans="1:9" x14ac:dyDescent="0.2">
      <c r="A196" s="1">
        <v>195</v>
      </c>
      <c r="B196" s="1">
        <f>_xlfn.XLOOKUP($C196,mlb_ids!E:E,mlb_ids!A:A,"xxx")</f>
        <v>660688</v>
      </c>
      <c r="C196" s="11" t="s">
        <v>476</v>
      </c>
      <c r="D196" s="2" t="s">
        <v>476</v>
      </c>
      <c r="E196" s="2" t="s">
        <v>476</v>
      </c>
      <c r="F196" s="10" t="s">
        <v>2195</v>
      </c>
      <c r="G196" s="10">
        <v>7</v>
      </c>
      <c r="H196" s="10" t="str">
        <f>_xlfn.XLOOKUP($E196,'games played'!$A:$A,'games played'!K:K,"xxx")</f>
        <v>C</v>
      </c>
      <c r="I196" s="10" t="b">
        <f>_xlfn.XLOOKUP($E196,'games played'!$A:$A,'games played'!L:L,"xxx")</f>
        <v>0</v>
      </c>
    </row>
    <row r="197" spans="1:9" x14ac:dyDescent="0.2">
      <c r="A197" s="1">
        <v>196</v>
      </c>
      <c r="B197" s="1">
        <f>_xlfn.XLOOKUP($C197,mlb_ids!E:E,mlb_ids!A:A,"xxx")</f>
        <v>657656</v>
      </c>
      <c r="C197" s="11" t="s">
        <v>104</v>
      </c>
      <c r="D197" s="2" t="s">
        <v>104</v>
      </c>
      <c r="E197" s="2" t="s">
        <v>602</v>
      </c>
      <c r="F197" s="10" t="s">
        <v>2222</v>
      </c>
      <c r="G197" s="10">
        <v>7</v>
      </c>
      <c r="H197" s="10" t="str">
        <f>_xlfn.XLOOKUP($E197,'games played'!$A:$A,'games played'!K:K,"xxx")</f>
        <v>LF</v>
      </c>
      <c r="I197" s="10" t="b">
        <f>_xlfn.XLOOKUP($E197,'games played'!$A:$A,'games played'!L:L,"xxx")</f>
        <v>0</v>
      </c>
    </row>
    <row r="198" spans="1:9" x14ac:dyDescent="0.2">
      <c r="A198" s="1">
        <v>197</v>
      </c>
      <c r="B198" s="1">
        <f>_xlfn.XLOOKUP($C198,mlb_ids!E:E,mlb_ids!A:A,"xxx")</f>
        <v>678218</v>
      </c>
      <c r="C198" s="11" t="s">
        <v>477</v>
      </c>
      <c r="D198" s="2" t="s">
        <v>477</v>
      </c>
      <c r="E198" s="2" t="s">
        <v>477</v>
      </c>
      <c r="F198" s="10" t="s">
        <v>2220</v>
      </c>
      <c r="G198" s="10">
        <v>7</v>
      </c>
      <c r="H198" s="10" t="str">
        <f>_xlfn.XLOOKUP($E198,'games played'!$A:$A,'games played'!K:K,"xxx")</f>
        <v>C</v>
      </c>
      <c r="I198" s="10" t="b">
        <f>_xlfn.XLOOKUP($E198,'games played'!$A:$A,'games played'!L:L,"xxx")</f>
        <v>0</v>
      </c>
    </row>
    <row r="199" spans="1:9" x14ac:dyDescent="0.2">
      <c r="A199" s="1">
        <v>198</v>
      </c>
      <c r="B199" s="1">
        <f>_xlfn.XLOOKUP($C199,mlb_ids!E:E,mlb_ids!A:A,"xxx")</f>
        <v>543309</v>
      </c>
      <c r="C199" s="11" t="s">
        <v>105</v>
      </c>
      <c r="D199" s="2" t="s">
        <v>105</v>
      </c>
      <c r="E199" s="2" t="s">
        <v>105</v>
      </c>
      <c r="F199" s="10" t="s">
        <v>2223</v>
      </c>
      <c r="G199" s="10">
        <v>7</v>
      </c>
      <c r="H199" s="10" t="str">
        <f>_xlfn.XLOOKUP($E199,'games played'!$A:$A,'games played'!K:K,"xxx")</f>
        <v>C</v>
      </c>
      <c r="I199" s="10" t="b">
        <f>_xlfn.XLOOKUP($E199,'games played'!$A:$A,'games played'!L:L,"xxx")</f>
        <v>0</v>
      </c>
    </row>
    <row r="200" spans="1:9" x14ac:dyDescent="0.2">
      <c r="A200" s="1">
        <v>199</v>
      </c>
      <c r="B200" s="1">
        <f>_xlfn.XLOOKUP($C200,mlb_ids!E:E,mlb_ids!A:A,"xxx")</f>
        <v>691781</v>
      </c>
      <c r="C200" s="11" t="s">
        <v>106</v>
      </c>
      <c r="D200" s="2" t="s">
        <v>106</v>
      </c>
      <c r="E200" s="2" t="s">
        <v>106</v>
      </c>
      <c r="F200" s="10" t="s">
        <v>2195</v>
      </c>
      <c r="G200" s="10">
        <v>7</v>
      </c>
      <c r="H200" s="10" t="str">
        <f>_xlfn.XLOOKUP($E200,'games played'!$A:$A,'games played'!K:K,"xxx")</f>
        <v>3B</v>
      </c>
      <c r="I200" s="10" t="b">
        <f>_xlfn.XLOOKUP($E200,'games played'!$A:$A,'games played'!L:L,"xxx")</f>
        <v>0</v>
      </c>
    </row>
    <row r="201" spans="1:9" x14ac:dyDescent="0.2">
      <c r="A201" s="1">
        <v>200</v>
      </c>
      <c r="B201" s="1">
        <f>_xlfn.XLOOKUP($C201,mlb_ids!E:E,mlb_ids!A:A,"xxx")</f>
        <v>672761</v>
      </c>
      <c r="C201" s="11" t="s">
        <v>478</v>
      </c>
      <c r="D201" s="2" t="s">
        <v>478</v>
      </c>
      <c r="E201" s="2" t="s">
        <v>633</v>
      </c>
      <c r="F201" s="10" t="s">
        <v>2217</v>
      </c>
      <c r="G201" s="10">
        <v>7</v>
      </c>
      <c r="H201" s="10" t="str">
        <f>_xlfn.XLOOKUP($E201,'games played'!$A:$A,'games played'!K:K,"xxx")</f>
        <v>RF</v>
      </c>
      <c r="I201" s="10" t="b">
        <f>_xlfn.XLOOKUP($E201,'games played'!$A:$A,'games played'!L:L,"xxx")</f>
        <v>0</v>
      </c>
    </row>
    <row r="202" spans="1:9" x14ac:dyDescent="0.2">
      <c r="A202" s="1">
        <v>201</v>
      </c>
      <c r="B202" s="1">
        <f>_xlfn.XLOOKUP($C202,mlb_ids!E:E,mlb_ids!A:A,"xxx")</f>
        <v>691788</v>
      </c>
      <c r="C202" s="11" t="s">
        <v>364</v>
      </c>
      <c r="D202" s="2" t="s">
        <v>364</v>
      </c>
      <c r="E202" s="2" t="s">
        <v>364</v>
      </c>
      <c r="F202" s="10" t="s">
        <v>2211</v>
      </c>
      <c r="G202" s="10">
        <v>7</v>
      </c>
      <c r="H202" s="10" t="str">
        <f>_xlfn.XLOOKUP($E202,'games played'!$A:$A,'games played'!K:K,"xxx")</f>
        <v>C</v>
      </c>
      <c r="I202" s="10" t="b">
        <f>_xlfn.XLOOKUP($E202,'games played'!$A:$A,'games played'!L:L,"xxx")</f>
        <v>0</v>
      </c>
    </row>
    <row r="203" spans="1:9" x14ac:dyDescent="0.2">
      <c r="A203" s="1">
        <v>202</v>
      </c>
      <c r="B203" s="1">
        <f>_xlfn.XLOOKUP($C203,mlb_ids!E:E,mlb_ids!A:A,"xxx")</f>
        <v>806068</v>
      </c>
      <c r="C203" s="11" t="s">
        <v>365</v>
      </c>
      <c r="D203" s="2" t="s">
        <v>365</v>
      </c>
      <c r="E203" s="2" t="s">
        <v>365</v>
      </c>
      <c r="F203" s="10" t="s">
        <v>2213</v>
      </c>
      <c r="G203" s="10">
        <v>7</v>
      </c>
      <c r="H203" s="10" t="str">
        <f>_xlfn.XLOOKUP($E203,'games played'!$A:$A,'games played'!K:K,"xxx")</f>
        <v>SS</v>
      </c>
      <c r="I203" s="10" t="b">
        <f>_xlfn.XLOOKUP($E203,'games played'!$A:$A,'games played'!L:L,"xxx")</f>
        <v>0</v>
      </c>
    </row>
    <row r="204" spans="1:9" x14ac:dyDescent="0.2">
      <c r="A204" s="1">
        <v>203</v>
      </c>
      <c r="B204" s="1">
        <f>_xlfn.XLOOKUP($C204,mlb_ids!E:E,mlb_ids!A:A,"xxx")</f>
        <v>680777</v>
      </c>
      <c r="C204" s="11" t="s">
        <v>107</v>
      </c>
      <c r="D204" s="2" t="s">
        <v>107</v>
      </c>
      <c r="E204" s="2" t="s">
        <v>107</v>
      </c>
      <c r="F204" s="10" t="s">
        <v>2218</v>
      </c>
      <c r="G204" s="10">
        <v>7</v>
      </c>
      <c r="H204" s="10" t="str">
        <f>_xlfn.XLOOKUP($E204,'games played'!$A:$A,'games played'!K:K,"xxx")</f>
        <v>C</v>
      </c>
      <c r="I204" s="10" t="b">
        <f>_xlfn.XLOOKUP($E204,'games played'!$A:$A,'games played'!L:L,"xxx")</f>
        <v>0</v>
      </c>
    </row>
    <row r="205" spans="1:9" x14ac:dyDescent="0.2">
      <c r="A205" s="1">
        <v>204</v>
      </c>
      <c r="B205" s="1">
        <f>_xlfn.XLOOKUP($C205,mlb_ids!E:E,mlb_ids!A:A,"xxx")</f>
        <v>668723</v>
      </c>
      <c r="C205" s="11" t="s">
        <v>108</v>
      </c>
      <c r="D205" s="2" t="s">
        <v>108</v>
      </c>
      <c r="E205" s="2" t="s">
        <v>108</v>
      </c>
      <c r="F205" s="10" t="s">
        <v>2205</v>
      </c>
      <c r="G205" s="10">
        <v>7</v>
      </c>
      <c r="H205" s="10" t="str">
        <f>_xlfn.XLOOKUP($E205,'games played'!$A:$A,'games played'!K:K,"xxx")</f>
        <v>RF</v>
      </c>
      <c r="I205" s="10" t="b">
        <f>_xlfn.XLOOKUP($E205,'games played'!$A:$A,'games played'!L:L,"xxx")</f>
        <v>0</v>
      </c>
    </row>
    <row r="206" spans="1:9" x14ac:dyDescent="0.2">
      <c r="A206" s="1">
        <v>205</v>
      </c>
      <c r="B206" s="1">
        <f>_xlfn.XLOOKUP($C206,mlb_ids!E:E,mlb_ids!A:A,"xxx")</f>
        <v>656537</v>
      </c>
      <c r="C206" s="11" t="s">
        <v>109</v>
      </c>
      <c r="D206" s="2" t="s">
        <v>109</v>
      </c>
      <c r="E206" s="2" t="s">
        <v>109</v>
      </c>
      <c r="F206" s="10" t="s">
        <v>2202</v>
      </c>
      <c r="G206" s="10">
        <v>7</v>
      </c>
      <c r="H206" s="10" t="str">
        <f>_xlfn.XLOOKUP($E206,'games played'!$A:$A,'games played'!K:K,"xxx")</f>
        <v>RF</v>
      </c>
      <c r="I206" s="10" t="b">
        <f>_xlfn.XLOOKUP($E206,'games played'!$A:$A,'games played'!L:L,"xxx")</f>
        <v>0</v>
      </c>
    </row>
    <row r="207" spans="1:9" x14ac:dyDescent="0.2">
      <c r="A207" s="1">
        <v>206</v>
      </c>
      <c r="B207" s="1">
        <f>_xlfn.XLOOKUP($C207,mlb_ids!E:E,mlb_ids!A:A,"xxx")</f>
        <v>679822</v>
      </c>
      <c r="C207" s="11" t="s">
        <v>110</v>
      </c>
      <c r="D207" s="2" t="s">
        <v>110</v>
      </c>
      <c r="E207" s="2" t="s">
        <v>110</v>
      </c>
      <c r="F207" s="10" t="s">
        <v>2223</v>
      </c>
      <c r="G207" s="10">
        <v>7</v>
      </c>
      <c r="H207" s="10" t="str">
        <f>_xlfn.XLOOKUP($E207,'games played'!$A:$A,'games played'!K:K,"xxx")</f>
        <v>2B</v>
      </c>
      <c r="I207" s="10" t="b">
        <f>_xlfn.XLOOKUP($E207,'games played'!$A:$A,'games played'!L:L,"xxx")</f>
        <v>0</v>
      </c>
    </row>
    <row r="208" spans="1:9" x14ac:dyDescent="0.2">
      <c r="A208" s="1">
        <v>207</v>
      </c>
      <c r="B208" s="1">
        <f>_xlfn.XLOOKUP($C208,mlb_ids!E:E,mlb_ids!A:A,"xxx")</f>
        <v>621493</v>
      </c>
      <c r="C208" s="11" t="s">
        <v>111</v>
      </c>
      <c r="D208" s="2" t="s">
        <v>111</v>
      </c>
      <c r="E208" s="2" t="s">
        <v>111</v>
      </c>
      <c r="F208" s="10" t="s">
        <v>2212</v>
      </c>
      <c r="G208" s="10">
        <v>6</v>
      </c>
      <c r="H208" s="10" t="str">
        <f>_xlfn.XLOOKUP($E208,'games played'!$A:$A,'games played'!K:K,"xxx")</f>
        <v>LF</v>
      </c>
      <c r="I208" s="10" t="b">
        <f>_xlfn.XLOOKUP($E208,'games played'!$A:$A,'games played'!L:L,"xxx")</f>
        <v>0</v>
      </c>
    </row>
    <row r="209" spans="1:9" x14ac:dyDescent="0.2">
      <c r="A209" s="1">
        <v>208</v>
      </c>
      <c r="B209" s="1">
        <f>_xlfn.XLOOKUP($C209,mlb_ids!E:E,mlb_ids!A:A,"xxx")</f>
        <v>669364</v>
      </c>
      <c r="C209" s="11" t="s">
        <v>479</v>
      </c>
      <c r="D209" s="2" t="s">
        <v>479</v>
      </c>
      <c r="E209" s="2" t="s">
        <v>479</v>
      </c>
      <c r="F209" s="10" t="s">
        <v>2211</v>
      </c>
      <c r="G209" s="10">
        <v>6</v>
      </c>
      <c r="H209" s="10" t="str">
        <f>_xlfn.XLOOKUP($E209,'games played'!$A:$A,'games played'!K:K,"xxx")</f>
        <v>2B</v>
      </c>
      <c r="I209" s="10" t="b">
        <f>_xlfn.XLOOKUP($E209,'games played'!$A:$A,'games played'!L:L,"xxx")</f>
        <v>0</v>
      </c>
    </row>
    <row r="210" spans="1:9" x14ac:dyDescent="0.2">
      <c r="A210" s="1">
        <v>209</v>
      </c>
      <c r="B210" s="1">
        <f>_xlfn.XLOOKUP($C210,mlb_ids!E:E,mlb_ids!A:A,"xxx")</f>
        <v>672695</v>
      </c>
      <c r="C210" s="11" t="s">
        <v>480</v>
      </c>
      <c r="D210" s="2" t="s">
        <v>480</v>
      </c>
      <c r="E210" s="2" t="s">
        <v>480</v>
      </c>
      <c r="F210" s="10" t="s">
        <v>2215</v>
      </c>
      <c r="G210" s="10">
        <v>6</v>
      </c>
      <c r="H210" s="10" t="str">
        <f>_xlfn.XLOOKUP($E210,'games played'!$A:$A,'games played'!K:K,"xxx")</f>
        <v>SS</v>
      </c>
      <c r="I210" s="10" t="b">
        <f>_xlfn.XLOOKUP($E210,'games played'!$A:$A,'games played'!L:L,"xxx")</f>
        <v>0</v>
      </c>
    </row>
    <row r="211" spans="1:9" x14ac:dyDescent="0.2">
      <c r="A211" s="1">
        <v>210</v>
      </c>
      <c r="B211" s="1">
        <f>_xlfn.XLOOKUP($C211,mlb_ids!E:E,mlb_ids!A:A,"xxx")</f>
        <v>665489</v>
      </c>
      <c r="C211" s="11" t="s">
        <v>112</v>
      </c>
      <c r="D211" s="2" t="s">
        <v>112</v>
      </c>
      <c r="E211" s="2" t="s">
        <v>112</v>
      </c>
      <c r="F211" s="10" t="s">
        <v>2220</v>
      </c>
      <c r="G211" s="10">
        <v>6</v>
      </c>
      <c r="H211" s="10" t="str">
        <f>_xlfn.XLOOKUP($E211,'games played'!$A:$A,'games played'!K:K,"xxx")</f>
        <v>1B</v>
      </c>
      <c r="I211" s="10" t="b">
        <f>_xlfn.XLOOKUP($E211,'games played'!$A:$A,'games played'!L:L,"xxx")</f>
        <v>0</v>
      </c>
    </row>
    <row r="212" spans="1:9" x14ac:dyDescent="0.2">
      <c r="A212" s="1">
        <v>211</v>
      </c>
      <c r="B212" s="1">
        <f>_xlfn.XLOOKUP($C212,mlb_ids!E:E,mlb_ids!A:A,"xxx")</f>
        <v>694384</v>
      </c>
      <c r="C212" s="11" t="s">
        <v>366</v>
      </c>
      <c r="D212" s="2" t="s">
        <v>366</v>
      </c>
      <c r="E212" s="2" t="s">
        <v>366</v>
      </c>
      <c r="F212" s="10" t="s">
        <v>2210</v>
      </c>
      <c r="G212" s="10">
        <v>6</v>
      </c>
      <c r="H212" s="10" t="str">
        <f>_xlfn.XLOOKUP($E212,'games played'!$A:$A,'games played'!K:K,"xxx")</f>
        <v>1B</v>
      </c>
      <c r="I212" s="10" t="b">
        <f>_xlfn.XLOOKUP($E212,'games played'!$A:$A,'games played'!L:L,"xxx")</f>
        <v>0</v>
      </c>
    </row>
    <row r="213" spans="1:9" x14ac:dyDescent="0.2">
      <c r="A213" s="1">
        <v>212</v>
      </c>
      <c r="B213" s="1">
        <f>_xlfn.XLOOKUP($C213,mlb_ids!E:E,mlb_ids!A:A,"xxx")</f>
        <v>803011</v>
      </c>
      <c r="C213" s="11" t="s">
        <v>367</v>
      </c>
      <c r="D213" s="2" t="s">
        <v>367</v>
      </c>
      <c r="E213" s="2" t="s">
        <v>367</v>
      </c>
      <c r="F213" s="10" t="s">
        <v>2206</v>
      </c>
      <c r="G213" s="10">
        <v>6</v>
      </c>
      <c r="H213" s="10" t="str">
        <f>_xlfn.XLOOKUP($E213,'games played'!$A:$A,'games played'!K:K,"xxx")</f>
        <v>LF</v>
      </c>
      <c r="I213" s="10" t="b">
        <f>_xlfn.XLOOKUP($E213,'games played'!$A:$A,'games played'!L:L,"xxx")</f>
        <v>0</v>
      </c>
    </row>
    <row r="214" spans="1:9" x14ac:dyDescent="0.2">
      <c r="A214" s="1">
        <v>213</v>
      </c>
      <c r="B214" s="1">
        <f>_xlfn.XLOOKUP($C214,mlb_ids!E:E,mlb_ids!A:A,"xxx")</f>
        <v>686469</v>
      </c>
      <c r="C214" s="11" t="s">
        <v>368</v>
      </c>
      <c r="D214" s="2" t="s">
        <v>368</v>
      </c>
      <c r="E214" s="2" t="s">
        <v>368</v>
      </c>
      <c r="F214" s="10" t="s">
        <v>2209</v>
      </c>
      <c r="G214" s="10">
        <v>6</v>
      </c>
      <c r="H214" s="10" t="str">
        <f>_xlfn.XLOOKUP($E214,'games played'!$A:$A,'games played'!K:K,"xxx")</f>
        <v>1B</v>
      </c>
      <c r="I214" s="10" t="b">
        <f>_xlfn.XLOOKUP($E214,'games played'!$A:$A,'games played'!L:L,"xxx")</f>
        <v>0</v>
      </c>
    </row>
    <row r="215" spans="1:9" x14ac:dyDescent="0.2">
      <c r="A215" s="1">
        <v>214</v>
      </c>
      <c r="B215" s="1">
        <f>_xlfn.XLOOKUP($C215,mlb_ids!E:E,mlb_ids!A:A,"xxx")</f>
        <v>592885</v>
      </c>
      <c r="C215" s="11" t="s">
        <v>369</v>
      </c>
      <c r="D215" s="2" t="s">
        <v>369</v>
      </c>
      <c r="E215" s="2" t="s">
        <v>369</v>
      </c>
      <c r="F215" s="10" t="s">
        <v>2204</v>
      </c>
      <c r="G215" s="10">
        <v>6</v>
      </c>
      <c r="H215" s="10" t="str">
        <f>_xlfn.XLOOKUP($E215,'games played'!$A:$A,'games played'!K:K,"xxx")</f>
        <v>DH</v>
      </c>
      <c r="I215" s="10" t="b">
        <f>_xlfn.XLOOKUP($E215,'games played'!$A:$A,'games played'!L:L,"xxx")</f>
        <v>0</v>
      </c>
    </row>
    <row r="216" spans="1:9" x14ac:dyDescent="0.2">
      <c r="A216" s="1">
        <v>215</v>
      </c>
      <c r="B216" s="1">
        <f>_xlfn.XLOOKUP($C216,mlb_ids!E:E,mlb_ids!A:A,"xxx")</f>
        <v>672515</v>
      </c>
      <c r="C216" s="11" t="s">
        <v>113</v>
      </c>
      <c r="D216" s="2" t="s">
        <v>113</v>
      </c>
      <c r="E216" s="2" t="s">
        <v>113</v>
      </c>
      <c r="F216" s="10" t="s">
        <v>2215</v>
      </c>
      <c r="G216" s="10">
        <v>6</v>
      </c>
      <c r="H216" s="10" t="str">
        <f>_xlfn.XLOOKUP($E216,'games played'!$A:$A,'games played'!K:K,"xxx")</f>
        <v>C</v>
      </c>
      <c r="I216" s="10" t="b">
        <f>_xlfn.XLOOKUP($E216,'games played'!$A:$A,'games played'!L:L,"xxx")</f>
        <v>0</v>
      </c>
    </row>
    <row r="217" spans="1:9" x14ac:dyDescent="0.2">
      <c r="A217" s="1">
        <v>216</v>
      </c>
      <c r="B217" s="1">
        <f>_xlfn.XLOOKUP($C217,mlb_ids!E:E,mlb_ids!A:A,"xxx")</f>
        <v>671976</v>
      </c>
      <c r="C217" s="11" t="s">
        <v>370</v>
      </c>
      <c r="D217" s="2" t="s">
        <v>370</v>
      </c>
      <c r="E217" s="2" t="s">
        <v>370</v>
      </c>
      <c r="F217" s="10" t="s">
        <v>2206</v>
      </c>
      <c r="G217" s="10">
        <v>6</v>
      </c>
      <c r="H217" s="10" t="str">
        <f>_xlfn.XLOOKUP($E217,'games played'!$A:$A,'games played'!K:K,"xxx")</f>
        <v>CF</v>
      </c>
      <c r="I217" s="10" t="b">
        <f>_xlfn.XLOOKUP($E217,'games played'!$A:$A,'games played'!L:L,"xxx")</f>
        <v>0</v>
      </c>
    </row>
    <row r="218" spans="1:9" x14ac:dyDescent="0.2">
      <c r="A218" s="1">
        <v>217</v>
      </c>
      <c r="B218" s="1">
        <f>_xlfn.XLOOKUP($C218,mlb_ids!E:E,mlb_ids!A:A,"xxx")</f>
        <v>573262</v>
      </c>
      <c r="C218" s="11" t="s">
        <v>371</v>
      </c>
      <c r="D218" s="2" t="s">
        <v>371</v>
      </c>
      <c r="E218" s="2" t="s">
        <v>371</v>
      </c>
      <c r="F218" s="10" t="s">
        <v>2207</v>
      </c>
      <c r="G218" s="10">
        <v>6</v>
      </c>
      <c r="H218" s="10" t="str">
        <f>_xlfn.XLOOKUP($E218,'games played'!$A:$A,'games played'!K:K,"xxx")</f>
        <v>LF</v>
      </c>
      <c r="I218" s="10" t="b">
        <f>_xlfn.XLOOKUP($E218,'games played'!$A:$A,'games played'!L:L,"xxx")</f>
        <v>0</v>
      </c>
    </row>
    <row r="219" spans="1:9" x14ac:dyDescent="0.2">
      <c r="A219" s="1">
        <v>218</v>
      </c>
      <c r="B219" s="1">
        <f>_xlfn.XLOOKUP($C219,mlb_ids!E:E,mlb_ids!A:A,"xxx")</f>
        <v>682177</v>
      </c>
      <c r="C219" s="11" t="s">
        <v>372</v>
      </c>
      <c r="D219" s="2" t="s">
        <v>372</v>
      </c>
      <c r="E219" s="2" t="s">
        <v>372</v>
      </c>
      <c r="F219" s="10" t="s">
        <v>2224</v>
      </c>
      <c r="G219" s="10">
        <v>6</v>
      </c>
      <c r="H219" s="10" t="str">
        <f>_xlfn.XLOOKUP($E219,'games played'!$A:$A,'games played'!K:K,"xxx")</f>
        <v>CF</v>
      </c>
      <c r="I219" s="10" t="b">
        <f>_xlfn.XLOOKUP($E219,'games played'!$A:$A,'games played'!L:L,"xxx")</f>
        <v>0</v>
      </c>
    </row>
    <row r="220" spans="1:9" x14ac:dyDescent="0.2">
      <c r="A220" s="1">
        <v>219</v>
      </c>
      <c r="B220" s="1">
        <f>_xlfn.XLOOKUP($C220,mlb_ids!E:E,mlb_ids!A:A,"xxx")</f>
        <v>663886</v>
      </c>
      <c r="C220" s="11" t="s">
        <v>114</v>
      </c>
      <c r="D220" s="2" t="s">
        <v>114</v>
      </c>
      <c r="E220" s="2" t="s">
        <v>114</v>
      </c>
      <c r="F220" s="10" t="s">
        <v>2208</v>
      </c>
      <c r="G220" s="10">
        <v>6</v>
      </c>
      <c r="H220" s="10" t="str">
        <f>_xlfn.XLOOKUP($E220,'games played'!$A:$A,'games played'!K:K,"xxx")</f>
        <v>C</v>
      </c>
      <c r="I220" s="10" t="b">
        <f>_xlfn.XLOOKUP($E220,'games played'!$A:$A,'games played'!L:L,"xxx")</f>
        <v>0</v>
      </c>
    </row>
    <row r="221" spans="1:9" x14ac:dyDescent="0.2">
      <c r="A221" s="1">
        <v>220</v>
      </c>
      <c r="B221" s="1">
        <f>_xlfn.XLOOKUP($C221,mlb_ids!E:E,mlb_ids!A:A,"xxx")</f>
        <v>608348</v>
      </c>
      <c r="C221" s="11" t="s">
        <v>115</v>
      </c>
      <c r="D221" s="2" t="s">
        <v>115</v>
      </c>
      <c r="E221" s="2" t="s">
        <v>115</v>
      </c>
      <c r="F221" s="10" t="s">
        <v>2197</v>
      </c>
      <c r="G221" s="10">
        <v>6</v>
      </c>
      <c r="H221" s="10" t="str">
        <f>_xlfn.XLOOKUP($E221,'games played'!$A:$A,'games played'!K:K,"xxx")</f>
        <v>C</v>
      </c>
      <c r="I221" s="10" t="b">
        <f>_xlfn.XLOOKUP($E221,'games played'!$A:$A,'games played'!L:L,"xxx")</f>
        <v>0</v>
      </c>
    </row>
    <row r="222" spans="1:9" x14ac:dyDescent="0.2">
      <c r="A222" s="1">
        <v>221</v>
      </c>
      <c r="B222" s="1">
        <f>_xlfn.XLOOKUP($C222,mlb_ids!E:E,mlb_ids!A:A,"xxx")</f>
        <v>642086</v>
      </c>
      <c r="C222" s="11" t="s">
        <v>373</v>
      </c>
      <c r="D222" s="2" t="s">
        <v>373</v>
      </c>
      <c r="E222" s="2" t="s">
        <v>373</v>
      </c>
      <c r="F222" s="10" t="s">
        <v>2207</v>
      </c>
      <c r="G222" s="10">
        <v>6</v>
      </c>
      <c r="H222" s="10" t="str">
        <f>_xlfn.XLOOKUP($E222,'games played'!$A:$A,'games played'!K:K,"xxx")</f>
        <v>DH</v>
      </c>
      <c r="I222" s="10" t="b">
        <f>_xlfn.XLOOKUP($E222,'games played'!$A:$A,'games played'!L:L,"xxx")</f>
        <v>0</v>
      </c>
    </row>
    <row r="223" spans="1:9" x14ac:dyDescent="0.2">
      <c r="A223" s="1">
        <v>222</v>
      </c>
      <c r="B223" s="1">
        <f>_xlfn.XLOOKUP($C223,mlb_ids!E:E,mlb_ids!A:A,"xxx")</f>
        <v>666126</v>
      </c>
      <c r="C223" s="11" t="s">
        <v>374</v>
      </c>
      <c r="D223" s="2" t="s">
        <v>374</v>
      </c>
      <c r="E223" s="2" t="s">
        <v>374</v>
      </c>
      <c r="F223" s="10" t="s">
        <v>2200</v>
      </c>
      <c r="G223" s="10">
        <v>6</v>
      </c>
      <c r="H223" s="10" t="str">
        <f>_xlfn.XLOOKUP($E223,'games played'!$A:$A,'games played'!K:K,"xxx")</f>
        <v>RF</v>
      </c>
      <c r="I223" s="10" t="b">
        <f>_xlfn.XLOOKUP($E223,'games played'!$A:$A,'games played'!L:L,"xxx")</f>
        <v>0</v>
      </c>
    </row>
    <row r="224" spans="1:9" x14ac:dyDescent="0.2">
      <c r="A224" s="1">
        <v>223</v>
      </c>
      <c r="B224" s="1">
        <f>_xlfn.XLOOKUP($C224,mlb_ids!E:E,mlb_ids!A:A,"xxx")</f>
        <v>669224</v>
      </c>
      <c r="C224" s="11" t="s">
        <v>375</v>
      </c>
      <c r="D224" s="2" t="s">
        <v>375</v>
      </c>
      <c r="E224" s="2" t="s">
        <v>375</v>
      </c>
      <c r="F224" s="10" t="s">
        <v>2198</v>
      </c>
      <c r="G224" s="10">
        <v>6</v>
      </c>
      <c r="H224" s="10" t="str">
        <f>_xlfn.XLOOKUP($E224,'games played'!$A:$A,'games played'!K:K,"xxx")</f>
        <v>C</v>
      </c>
      <c r="I224" s="10" t="b">
        <f>_xlfn.XLOOKUP($E224,'games played'!$A:$A,'games played'!L:L,"xxx")</f>
        <v>0</v>
      </c>
    </row>
    <row r="225" spans="1:9" x14ac:dyDescent="0.2">
      <c r="A225" s="1">
        <v>224</v>
      </c>
      <c r="B225" s="1">
        <f>_xlfn.XLOOKUP($C225,mlb_ids!E:E,mlb_ids!A:A,"xxx")</f>
        <v>665161</v>
      </c>
      <c r="C225" s="11" t="s">
        <v>116</v>
      </c>
      <c r="D225" s="2" t="s">
        <v>116</v>
      </c>
      <c r="E225" s="2" t="s">
        <v>631</v>
      </c>
      <c r="F225" s="10" t="s">
        <v>2196</v>
      </c>
      <c r="G225" s="10">
        <v>6</v>
      </c>
      <c r="H225" s="10" t="str">
        <f>_xlfn.XLOOKUP($E225,'games played'!$A:$A,'games played'!K:K,"xxx")</f>
        <v>SS</v>
      </c>
      <c r="I225" s="10" t="b">
        <f>_xlfn.XLOOKUP($E225,'games played'!$A:$A,'games played'!L:L,"xxx")</f>
        <v>0</v>
      </c>
    </row>
    <row r="226" spans="1:9" x14ac:dyDescent="0.2">
      <c r="A226" s="1">
        <v>225</v>
      </c>
      <c r="B226" s="1">
        <f>_xlfn.XLOOKUP($C226,mlb_ids!E:E,mlb_ids!A:A,"xxx")</f>
        <v>669257</v>
      </c>
      <c r="C226" s="11" t="s">
        <v>117</v>
      </c>
      <c r="D226" s="2" t="s">
        <v>117</v>
      </c>
      <c r="E226" s="2" t="s">
        <v>117</v>
      </c>
      <c r="F226" s="10" t="s">
        <v>2201</v>
      </c>
      <c r="G226" s="10">
        <v>6</v>
      </c>
      <c r="H226" s="10" t="str">
        <f>_xlfn.XLOOKUP($E226,'games played'!$A:$A,'games played'!K:K,"xxx")</f>
        <v>C</v>
      </c>
      <c r="I226" s="10" t="b">
        <f>_xlfn.XLOOKUP($E226,'games played'!$A:$A,'games played'!L:L,"xxx")</f>
        <v>0</v>
      </c>
    </row>
    <row r="227" spans="1:9" x14ac:dyDescent="0.2">
      <c r="A227" s="1">
        <v>226</v>
      </c>
      <c r="B227" s="1">
        <f>_xlfn.XLOOKUP($C227,mlb_ids!E:E,mlb_ids!A:A,"xxx")</f>
        <v>686611</v>
      </c>
      <c r="C227" s="11" t="s">
        <v>118</v>
      </c>
      <c r="D227" s="2" t="s">
        <v>118</v>
      </c>
      <c r="E227" s="2" t="s">
        <v>118</v>
      </c>
      <c r="F227" s="10" t="s">
        <v>2195</v>
      </c>
      <c r="G227" s="10">
        <v>6</v>
      </c>
      <c r="H227" s="10" t="str">
        <f>_xlfn.XLOOKUP($E227,'games played'!$A:$A,'games played'!K:K,"xxx")</f>
        <v>RF</v>
      </c>
      <c r="I227" s="10" t="b">
        <f>_xlfn.XLOOKUP($E227,'games played'!$A:$A,'games played'!L:L,"xxx")</f>
        <v>0</v>
      </c>
    </row>
    <row r="228" spans="1:9" x14ac:dyDescent="0.2">
      <c r="A228" s="1">
        <v>227</v>
      </c>
      <c r="B228" s="1">
        <f>_xlfn.XLOOKUP($C228,mlb_ids!E:E,mlb_ids!A:A,"xxx")</f>
        <v>694208</v>
      </c>
      <c r="C228" s="11" t="s">
        <v>376</v>
      </c>
      <c r="D228" s="2" t="s">
        <v>376</v>
      </c>
      <c r="E228" s="2" t="s">
        <v>529</v>
      </c>
      <c r="F228" s="10" t="s">
        <v>2197</v>
      </c>
      <c r="G228" s="10">
        <v>6</v>
      </c>
      <c r="H228" s="10" t="str">
        <f>_xlfn.XLOOKUP($E228,'games played'!$A:$A,'games played'!K:K,"xxx")</f>
        <v>DH</v>
      </c>
      <c r="I228" s="10" t="b">
        <f>_xlfn.XLOOKUP($E228,'games played'!$A:$A,'games played'!L:L,"xxx")</f>
        <v>0</v>
      </c>
    </row>
    <row r="229" spans="1:9" x14ac:dyDescent="0.2">
      <c r="A229" s="1">
        <v>228</v>
      </c>
      <c r="B229" s="1">
        <f>_xlfn.XLOOKUP($C229,mlb_ids!E:E,mlb_ids!A:A,"xxx")</f>
        <v>641933</v>
      </c>
      <c r="C229" s="11" t="s">
        <v>119</v>
      </c>
      <c r="D229" s="2" t="s">
        <v>119</v>
      </c>
      <c r="E229" s="2" t="s">
        <v>119</v>
      </c>
      <c r="F229" s="10" t="s">
        <v>2212</v>
      </c>
      <c r="G229" s="10">
        <v>6</v>
      </c>
      <c r="H229" s="10" t="str">
        <f>_xlfn.XLOOKUP($E229,'games played'!$A:$A,'games played'!K:K,"xxx")</f>
        <v>RF</v>
      </c>
      <c r="I229" s="10" t="b">
        <f>_xlfn.XLOOKUP($E229,'games played'!$A:$A,'games played'!L:L,"xxx")</f>
        <v>0</v>
      </c>
    </row>
    <row r="230" spans="1:9" x14ac:dyDescent="0.2">
      <c r="A230" s="1">
        <v>229</v>
      </c>
      <c r="B230" s="1">
        <f>_xlfn.XLOOKUP($C230,mlb_ids!E:E,mlb_ids!A:A,"xxx")</f>
        <v>673237</v>
      </c>
      <c r="C230" s="11" t="s">
        <v>120</v>
      </c>
      <c r="D230" s="2" t="s">
        <v>120</v>
      </c>
      <c r="E230" s="2" t="s">
        <v>120</v>
      </c>
      <c r="F230" s="10" t="s">
        <v>2196</v>
      </c>
      <c r="G230" s="10">
        <v>6</v>
      </c>
      <c r="H230" s="10" t="str">
        <f>_xlfn.XLOOKUP($E230,'games played'!$A:$A,'games played'!K:K,"xxx")</f>
        <v>C</v>
      </c>
      <c r="I230" s="10" t="b">
        <f>_xlfn.XLOOKUP($E230,'games played'!$A:$A,'games played'!L:L,"xxx")</f>
        <v>0</v>
      </c>
    </row>
    <row r="231" spans="1:9" x14ac:dyDescent="0.2">
      <c r="A231" s="1">
        <v>230</v>
      </c>
      <c r="B231" s="1">
        <f>_xlfn.XLOOKUP($C231,mlb_ids!E:E,mlb_ids!A:A,"xxx")</f>
        <v>676724</v>
      </c>
      <c r="C231" s="11" t="s">
        <v>377</v>
      </c>
      <c r="D231" s="2" t="s">
        <v>377</v>
      </c>
      <c r="E231" s="2" t="s">
        <v>377</v>
      </c>
      <c r="F231" s="10" t="s">
        <v>2219</v>
      </c>
      <c r="G231" s="10">
        <v>6</v>
      </c>
      <c r="H231" s="10" t="str">
        <f>_xlfn.XLOOKUP($E231,'games played'!$A:$A,'games played'!K:K,"xxx")</f>
        <v>1B</v>
      </c>
      <c r="I231" s="10" t="b">
        <f>_xlfn.XLOOKUP($E231,'games played'!$A:$A,'games played'!L:L,"xxx")</f>
        <v>0</v>
      </c>
    </row>
    <row r="232" spans="1:9" x14ac:dyDescent="0.2">
      <c r="A232" s="1">
        <v>231</v>
      </c>
      <c r="B232" s="1">
        <f>_xlfn.XLOOKUP($C232,mlb_ids!E:E,mlb_ids!A:A,"xxx")</f>
        <v>681807</v>
      </c>
      <c r="C232" s="11" t="s">
        <v>121</v>
      </c>
      <c r="D232" s="2" t="s">
        <v>121</v>
      </c>
      <c r="E232" s="2" t="s">
        <v>121</v>
      </c>
      <c r="F232" s="10" t="s">
        <v>2224</v>
      </c>
      <c r="G232" s="10">
        <v>6</v>
      </c>
      <c r="H232" s="10" t="str">
        <f>_xlfn.XLOOKUP($E232,'games played'!$A:$A,'games played'!K:K,"xxx")</f>
        <v>RF</v>
      </c>
      <c r="I232" s="10" t="b">
        <f>_xlfn.XLOOKUP($E232,'games played'!$A:$A,'games played'!L:L,"xxx")</f>
        <v>0</v>
      </c>
    </row>
    <row r="233" spans="1:9" x14ac:dyDescent="0.2">
      <c r="A233" s="1">
        <v>232</v>
      </c>
      <c r="B233" s="1">
        <f>_xlfn.XLOOKUP($C233,mlb_ids!E:E,mlb_ids!A:A,"xxx")</f>
        <v>682622</v>
      </c>
      <c r="C233" s="11" t="s">
        <v>607</v>
      </c>
      <c r="D233" s="2" t="s">
        <v>122</v>
      </c>
      <c r="E233" s="2" t="s">
        <v>607</v>
      </c>
      <c r="F233" s="10" t="s">
        <v>2208</v>
      </c>
      <c r="G233" s="10">
        <v>6</v>
      </c>
      <c r="H233" s="10" t="str">
        <f>_xlfn.XLOOKUP($E233,'games played'!$A:$A,'games played'!K:K,"xxx")</f>
        <v>RF</v>
      </c>
      <c r="I233" s="10" t="b">
        <f>_xlfn.XLOOKUP($E233,'games played'!$A:$A,'games played'!L:L,"xxx")</f>
        <v>0</v>
      </c>
    </row>
    <row r="234" spans="1:9" x14ac:dyDescent="0.2">
      <c r="A234" s="1">
        <v>233</v>
      </c>
      <c r="B234" s="1">
        <f>_xlfn.XLOOKUP($C234,mlb_ids!E:E,mlb_ids!A:A,"xxx")</f>
        <v>621438</v>
      </c>
      <c r="C234" s="11" t="s">
        <v>123</v>
      </c>
      <c r="D234" s="2" t="s">
        <v>123</v>
      </c>
      <c r="E234" s="2" t="s">
        <v>123</v>
      </c>
      <c r="F234" s="10" t="s">
        <v>2219</v>
      </c>
      <c r="G234" s="10">
        <v>6</v>
      </c>
      <c r="H234" s="10" t="str">
        <f>_xlfn.XLOOKUP($E234,'games played'!$A:$A,'games played'!K:K,"xxx")</f>
        <v>CF</v>
      </c>
      <c r="I234" s="10" t="b">
        <f>_xlfn.XLOOKUP($E234,'games played'!$A:$A,'games played'!L:L,"xxx")</f>
        <v>0</v>
      </c>
    </row>
    <row r="235" spans="1:9" x14ac:dyDescent="0.2">
      <c r="A235" s="1">
        <v>234</v>
      </c>
      <c r="B235" s="1">
        <f>_xlfn.XLOOKUP($C235,mlb_ids!E:E,mlb_ids!A:A,"xxx")</f>
        <v>665487</v>
      </c>
      <c r="C235" s="11" t="s">
        <v>124</v>
      </c>
      <c r="D235" s="2" t="s">
        <v>124</v>
      </c>
      <c r="E235" s="2" t="s">
        <v>124</v>
      </c>
      <c r="F235" s="10" t="s">
        <v>2222</v>
      </c>
      <c r="G235" s="10">
        <v>5</v>
      </c>
      <c r="H235" s="10" t="str">
        <f>_xlfn.XLOOKUP($E235,'games played'!$A:$A,'games played'!K:K,"xxx")</f>
        <v>RF</v>
      </c>
      <c r="I235" s="10" t="b">
        <f>_xlfn.XLOOKUP($E235,'games played'!$A:$A,'games played'!L:L,"xxx")</f>
        <v>0</v>
      </c>
    </row>
    <row r="236" spans="1:9" x14ac:dyDescent="0.2">
      <c r="A236" s="1">
        <v>235</v>
      </c>
      <c r="B236" s="1">
        <f>_xlfn.XLOOKUP($C236,mlb_ids!E:E,mlb_ids!A:A,"xxx")</f>
        <v>805300</v>
      </c>
      <c r="C236" s="11" t="s">
        <v>378</v>
      </c>
      <c r="D236" s="2" t="s">
        <v>378</v>
      </c>
      <c r="E236" s="2" t="s">
        <v>378</v>
      </c>
      <c r="F236" s="10" t="s">
        <v>2211</v>
      </c>
      <c r="G236" s="10">
        <v>5</v>
      </c>
      <c r="H236" s="10" t="str">
        <f>_xlfn.XLOOKUP($E236,'games played'!$A:$A,'games played'!K:K,"xxx")</f>
        <v>CF</v>
      </c>
      <c r="I236" s="10" t="b">
        <f>_xlfn.XLOOKUP($E236,'games played'!$A:$A,'games played'!L:L,"xxx")</f>
        <v>0</v>
      </c>
    </row>
    <row r="237" spans="1:9" x14ac:dyDescent="0.2">
      <c r="A237" s="1">
        <v>236</v>
      </c>
      <c r="B237" s="1">
        <f>_xlfn.XLOOKUP($C237,mlb_ids!E:E,mlb_ids!A:A,"xxx")</f>
        <v>808982</v>
      </c>
      <c r="C237" s="11" t="s">
        <v>379</v>
      </c>
      <c r="D237" s="2" t="s">
        <v>379</v>
      </c>
      <c r="E237" s="2" t="s">
        <v>379</v>
      </c>
      <c r="F237" s="10" t="s">
        <v>2221</v>
      </c>
      <c r="G237" s="10">
        <v>5</v>
      </c>
      <c r="H237" s="10" t="str">
        <f>_xlfn.XLOOKUP($E237,'games played'!$A:$A,'games played'!K:K,"xxx")</f>
        <v>RF</v>
      </c>
      <c r="I237" s="10" t="b">
        <f>_xlfn.XLOOKUP($E237,'games played'!$A:$A,'games played'!L:L,"xxx")</f>
        <v>0</v>
      </c>
    </row>
    <row r="238" spans="1:9" x14ac:dyDescent="0.2">
      <c r="A238" s="1">
        <v>237</v>
      </c>
      <c r="B238" s="1">
        <f>_xlfn.XLOOKUP($C238,mlb_ids!E:E,mlb_ids!A:A,"xxx")</f>
        <v>686555</v>
      </c>
      <c r="C238" s="11" t="s">
        <v>481</v>
      </c>
      <c r="D238" s="2" t="s">
        <v>481</v>
      </c>
      <c r="E238" s="2" t="s">
        <v>481</v>
      </c>
      <c r="F238" s="10" t="s">
        <v>2209</v>
      </c>
      <c r="G238" s="10">
        <v>5</v>
      </c>
      <c r="H238" s="10" t="str">
        <f>_xlfn.XLOOKUP($E238,'games played'!$A:$A,'games played'!K:K,"xxx")</f>
        <v>LF</v>
      </c>
      <c r="I238" s="10" t="b">
        <f>_xlfn.XLOOKUP($E238,'games played'!$A:$A,'games played'!L:L,"xxx")</f>
        <v>0</v>
      </c>
    </row>
    <row r="239" spans="1:9" x14ac:dyDescent="0.2">
      <c r="A239" s="1">
        <v>238</v>
      </c>
      <c r="B239" s="1">
        <f>_xlfn.XLOOKUP($C239,mlb_ids!E:E,mlb_ids!A:A,"xxx")</f>
        <v>671732</v>
      </c>
      <c r="C239" s="11" t="s">
        <v>380</v>
      </c>
      <c r="D239" s="2" t="s">
        <v>380</v>
      </c>
      <c r="E239" s="2" t="s">
        <v>380</v>
      </c>
      <c r="F239" s="10" t="s">
        <v>2200</v>
      </c>
      <c r="G239" s="10">
        <v>5</v>
      </c>
      <c r="H239" s="10" t="str">
        <f>_xlfn.XLOOKUP($E239,'games played'!$A:$A,'games played'!K:K,"xxx")</f>
        <v>RF</v>
      </c>
      <c r="I239" s="10" t="b">
        <f>_xlfn.XLOOKUP($E239,'games played'!$A:$A,'games played'!L:L,"xxx")</f>
        <v>0</v>
      </c>
    </row>
    <row r="240" spans="1:9" x14ac:dyDescent="0.2">
      <c r="A240" s="1">
        <v>239</v>
      </c>
      <c r="B240" s="1">
        <f>_xlfn.XLOOKUP($C240,mlb_ids!E:E,mlb_ids!A:A,"xxx")</f>
        <v>663837</v>
      </c>
      <c r="C240" s="11" t="s">
        <v>125</v>
      </c>
      <c r="D240" s="2" t="s">
        <v>125</v>
      </c>
      <c r="E240" s="2" t="s">
        <v>125</v>
      </c>
      <c r="F240" s="10" t="s">
        <v>2217</v>
      </c>
      <c r="G240" s="10">
        <v>5</v>
      </c>
      <c r="H240" s="10" t="str">
        <f>_xlfn.XLOOKUP($E240,'games played'!$A:$A,'games played'!K:K,"xxx")</f>
        <v>CF</v>
      </c>
      <c r="I240" s="10" t="b">
        <f>_xlfn.XLOOKUP($E240,'games played'!$A:$A,'games played'!L:L,"xxx")</f>
        <v>0</v>
      </c>
    </row>
    <row r="241" spans="1:9" x14ac:dyDescent="0.2">
      <c r="A241" s="1">
        <v>240</v>
      </c>
      <c r="B241" s="1">
        <f>_xlfn.XLOOKUP($C241,mlb_ids!E:E,mlb_ids!A:A,"xxx")</f>
        <v>804606</v>
      </c>
      <c r="C241" s="11" t="s">
        <v>126</v>
      </c>
      <c r="D241" s="2" t="s">
        <v>126</v>
      </c>
      <c r="E241" s="2" t="s">
        <v>126</v>
      </c>
      <c r="F241" s="10" t="s">
        <v>2203</v>
      </c>
      <c r="G241" s="10">
        <v>5</v>
      </c>
      <c r="H241" s="10" t="str">
        <f>_xlfn.XLOOKUP($E241,'games played'!$A:$A,'games played'!K:K,"xxx")</f>
        <v>SS</v>
      </c>
      <c r="I241" s="10" t="b">
        <f>_xlfn.XLOOKUP($E241,'games played'!$A:$A,'games played'!L:L,"xxx")</f>
        <v>0</v>
      </c>
    </row>
    <row r="242" spans="1:9" x14ac:dyDescent="0.2">
      <c r="A242" s="1">
        <v>241</v>
      </c>
      <c r="B242" s="1">
        <f>_xlfn.XLOOKUP($C242,mlb_ids!E:E,mlb_ids!A:A,"xxx")</f>
        <v>609280</v>
      </c>
      <c r="C242" s="11" t="s">
        <v>127</v>
      </c>
      <c r="D242" s="2" t="s">
        <v>127</v>
      </c>
      <c r="E242" s="2" t="s">
        <v>127</v>
      </c>
      <c r="F242" s="10" t="s">
        <v>2222</v>
      </c>
      <c r="G242" s="10">
        <v>5</v>
      </c>
      <c r="H242" s="10" t="str">
        <f>_xlfn.XLOOKUP($E242,'games played'!$A:$A,'games played'!K:K,"xxx")</f>
        <v>DH</v>
      </c>
      <c r="I242" s="10" t="b">
        <f>_xlfn.XLOOKUP($E242,'games played'!$A:$A,'games played'!L:L,"xxx")</f>
        <v>0</v>
      </c>
    </row>
    <row r="243" spans="1:9" x14ac:dyDescent="0.2">
      <c r="A243" s="1">
        <v>242</v>
      </c>
      <c r="B243" s="1">
        <f>_xlfn.XLOOKUP($C243,mlb_ids!E:E,mlb_ids!A:A,"xxx")</f>
        <v>664770</v>
      </c>
      <c r="C243" s="11" t="s">
        <v>381</v>
      </c>
      <c r="D243" s="2" t="s">
        <v>381</v>
      </c>
      <c r="E243" s="2" t="s">
        <v>381</v>
      </c>
      <c r="F243" s="10" t="s">
        <v>2220</v>
      </c>
      <c r="G243" s="10">
        <v>5</v>
      </c>
      <c r="H243" s="10" t="str">
        <f>_xlfn.XLOOKUP($E243,'games played'!$A:$A,'games played'!K:K,"xxx")</f>
        <v>RF</v>
      </c>
      <c r="I243" s="10" t="b">
        <f>_xlfn.XLOOKUP($E243,'games played'!$A:$A,'games played'!L:L,"xxx")</f>
        <v>0</v>
      </c>
    </row>
    <row r="244" spans="1:9" x14ac:dyDescent="0.2">
      <c r="A244" s="1">
        <v>243</v>
      </c>
      <c r="B244" s="1">
        <f>_xlfn.XLOOKUP($C244,mlb_ids!E:E,mlb_ids!A:A,"xxx")</f>
        <v>687093</v>
      </c>
      <c r="C244" s="11" t="s">
        <v>128</v>
      </c>
      <c r="D244" s="2" t="s">
        <v>128</v>
      </c>
      <c r="E244" s="2" t="s">
        <v>128</v>
      </c>
      <c r="F244" s="10" t="s">
        <v>2210</v>
      </c>
      <c r="G244" s="10">
        <v>5</v>
      </c>
      <c r="H244" s="10" t="str">
        <f>_xlfn.XLOOKUP($E244,'games played'!$A:$A,'games played'!K:K,"xxx")</f>
        <v>1B</v>
      </c>
      <c r="I244" s="10" t="b">
        <f>_xlfn.XLOOKUP($E244,'games played'!$A:$A,'games played'!L:L,"xxx")</f>
        <v>0</v>
      </c>
    </row>
    <row r="245" spans="1:9" x14ac:dyDescent="0.2">
      <c r="A245" s="1">
        <v>244</v>
      </c>
      <c r="B245" s="1">
        <f>_xlfn.XLOOKUP($C245,mlb_ids!E:E,mlb_ids!A:A,"xxx")</f>
        <v>543877</v>
      </c>
      <c r="C245" s="11" t="s">
        <v>129</v>
      </c>
      <c r="D245" s="2" t="s">
        <v>129</v>
      </c>
      <c r="E245" s="2" t="s">
        <v>682</v>
      </c>
      <c r="F245" s="10" t="s">
        <v>2196</v>
      </c>
      <c r="G245" s="10">
        <v>5</v>
      </c>
      <c r="H245" s="10" t="str">
        <f>_xlfn.XLOOKUP($E245,'games played'!$A:$A,'games played'!K:K,"xxx")</f>
        <v>C</v>
      </c>
      <c r="I245" s="10" t="b">
        <f>_xlfn.XLOOKUP($E245,'games played'!$A:$A,'games played'!L:L,"xxx")</f>
        <v>0</v>
      </c>
    </row>
    <row r="246" spans="1:9" x14ac:dyDescent="0.2">
      <c r="A246" s="1">
        <v>245</v>
      </c>
      <c r="B246" s="1">
        <f>_xlfn.XLOOKUP($C246,mlb_ids!E:E,mlb_ids!A:A,"xxx")</f>
        <v>677588</v>
      </c>
      <c r="C246" s="11" t="s">
        <v>382</v>
      </c>
      <c r="D246" s="2" t="s">
        <v>382</v>
      </c>
      <c r="E246" s="2" t="s">
        <v>676</v>
      </c>
      <c r="F246" s="10" t="s">
        <v>2195</v>
      </c>
      <c r="G246" s="10">
        <v>5</v>
      </c>
      <c r="H246" s="10" t="str">
        <f>_xlfn.XLOOKUP($E246,'games played'!$A:$A,'games played'!K:K,"xxx")</f>
        <v>DH</v>
      </c>
      <c r="I246" s="10" t="b">
        <f>_xlfn.XLOOKUP($E246,'games played'!$A:$A,'games played'!L:L,"xxx")</f>
        <v>0</v>
      </c>
    </row>
    <row r="247" spans="1:9" x14ac:dyDescent="0.2">
      <c r="A247" s="1">
        <v>246</v>
      </c>
      <c r="B247" s="1">
        <f>_xlfn.XLOOKUP($C247,mlb_ids!E:E,mlb_ids!A:A,"xxx")</f>
        <v>676356</v>
      </c>
      <c r="C247" s="11" t="s">
        <v>130</v>
      </c>
      <c r="D247" s="2" t="s">
        <v>130</v>
      </c>
      <c r="E247" s="2" t="s">
        <v>553</v>
      </c>
      <c r="F247" s="10" t="s">
        <v>2205</v>
      </c>
      <c r="G247" s="10">
        <v>5</v>
      </c>
      <c r="H247" s="10" t="str">
        <f>_xlfn.XLOOKUP($E247,'games played'!$A:$A,'games played'!K:K,"xxx")</f>
        <v>RF</v>
      </c>
      <c r="I247" s="10" t="b">
        <f>_xlfn.XLOOKUP($E247,'games played'!$A:$A,'games played'!L:L,"xxx")</f>
        <v>0</v>
      </c>
    </row>
    <row r="248" spans="1:9" x14ac:dyDescent="0.2">
      <c r="A248" s="1">
        <v>248</v>
      </c>
      <c r="B248" s="1">
        <f>_xlfn.XLOOKUP($C248,mlb_ids!E:E,mlb_ids!A:A,"xxx")</f>
        <v>596019</v>
      </c>
      <c r="C248" s="11" t="s">
        <v>482</v>
      </c>
      <c r="D248" s="2" t="s">
        <v>482</v>
      </c>
      <c r="E248" s="2" t="s">
        <v>482</v>
      </c>
      <c r="F248" s="10" t="s">
        <v>2219</v>
      </c>
      <c r="G248" s="10">
        <v>5</v>
      </c>
      <c r="H248" s="10" t="str">
        <f>_xlfn.XLOOKUP($E248,'games played'!$A:$A,'games played'!K:K,"xxx")</f>
        <v>SS</v>
      </c>
      <c r="I248" s="10" t="b">
        <f>_xlfn.XLOOKUP($E248,'games played'!$A:$A,'games played'!L:L,"xxx")</f>
        <v>0</v>
      </c>
    </row>
    <row r="249" spans="1:9" x14ac:dyDescent="0.2">
      <c r="A249" s="1">
        <v>249</v>
      </c>
      <c r="B249" s="1">
        <f>_xlfn.XLOOKUP($C249,mlb_ids!E:E,mlb_ids!A:A,"xxx")</f>
        <v>655316</v>
      </c>
      <c r="C249" s="11" t="s">
        <v>132</v>
      </c>
      <c r="D249" s="2" t="s">
        <v>132</v>
      </c>
      <c r="E249" s="2" t="s">
        <v>132</v>
      </c>
      <c r="F249" s="10" t="s">
        <v>2216</v>
      </c>
      <c r="G249" s="10">
        <v>5</v>
      </c>
      <c r="H249" s="10" t="str">
        <f>_xlfn.XLOOKUP($E249,'games played'!$A:$A,'games played'!K:K,"xxx")</f>
        <v>SS</v>
      </c>
      <c r="I249" s="10" t="b">
        <f>_xlfn.XLOOKUP($E249,'games played'!$A:$A,'games played'!L:L,"xxx")</f>
        <v>0</v>
      </c>
    </row>
    <row r="250" spans="1:9" x14ac:dyDescent="0.2">
      <c r="A250" s="1">
        <v>250</v>
      </c>
      <c r="B250" s="1">
        <f>_xlfn.XLOOKUP($C250,mlb_ids!E:E,mlb_ids!A:A,"xxx")</f>
        <v>680728</v>
      </c>
      <c r="C250" s="11" t="s">
        <v>383</v>
      </c>
      <c r="D250" s="2" t="s">
        <v>383</v>
      </c>
      <c r="E250" s="2" t="s">
        <v>383</v>
      </c>
      <c r="F250" s="10" t="s">
        <v>2215</v>
      </c>
      <c r="G250" s="10">
        <v>5</v>
      </c>
      <c r="H250" s="10" t="str">
        <f>_xlfn.XLOOKUP($E250,'games played'!$A:$A,'games played'!K:K,"xxx")</f>
        <v>DH</v>
      </c>
      <c r="I250" s="10" t="b">
        <f>_xlfn.XLOOKUP($E250,'games played'!$A:$A,'games played'!L:L,"xxx")</f>
        <v>0</v>
      </c>
    </row>
    <row r="251" spans="1:9" x14ac:dyDescent="0.2">
      <c r="A251" s="1">
        <v>251</v>
      </c>
      <c r="B251" s="1">
        <f>_xlfn.XLOOKUP($C251,mlb_ids!E:E,mlb_ids!A:A,"xxx")</f>
        <v>624641</v>
      </c>
      <c r="C251" s="11" t="s">
        <v>133</v>
      </c>
      <c r="D251" s="2" t="s">
        <v>133</v>
      </c>
      <c r="E251" s="2" t="s">
        <v>133</v>
      </c>
      <c r="F251" s="10" t="s">
        <v>2202</v>
      </c>
      <c r="G251" s="10">
        <v>5</v>
      </c>
      <c r="H251" s="10" t="str">
        <f>_xlfn.XLOOKUP($E251,'games played'!$A:$A,'games played'!K:K,"xxx")</f>
        <v>LF</v>
      </c>
      <c r="I251" s="10" t="b">
        <f>_xlfn.XLOOKUP($E251,'games played'!$A:$A,'games played'!L:L,"xxx")</f>
        <v>0</v>
      </c>
    </row>
    <row r="252" spans="1:9" x14ac:dyDescent="0.2">
      <c r="A252" s="1">
        <v>252</v>
      </c>
      <c r="B252" s="1">
        <f>_xlfn.XLOOKUP($C252,mlb_ids!E:E,mlb_ids!A:A,"xxx")</f>
        <v>682818</v>
      </c>
      <c r="C252" s="11" t="s">
        <v>384</v>
      </c>
      <c r="D252" s="2" t="s">
        <v>384</v>
      </c>
      <c r="E252" s="2" t="s">
        <v>635</v>
      </c>
      <c r="F252" s="10" t="s">
        <v>2220</v>
      </c>
      <c r="G252" s="10">
        <v>5</v>
      </c>
      <c r="H252" s="10" t="str">
        <f>_xlfn.XLOOKUP($E252,'games played'!$A:$A,'games played'!K:K,"xxx")</f>
        <v>LF</v>
      </c>
      <c r="I252" s="10" t="b">
        <f>_xlfn.XLOOKUP($E252,'games played'!$A:$A,'games played'!L:L,"xxx")</f>
        <v>0</v>
      </c>
    </row>
    <row r="253" spans="1:9" x14ac:dyDescent="0.2">
      <c r="A253" s="1">
        <v>253</v>
      </c>
      <c r="B253" s="1">
        <f>_xlfn.XLOOKUP($C253,mlb_ids!E:E,mlb_ids!A:A,"xxx")</f>
        <v>702616</v>
      </c>
      <c r="C253" s="11" t="s">
        <v>385</v>
      </c>
      <c r="D253" s="2" t="s">
        <v>385</v>
      </c>
      <c r="E253" s="2" t="s">
        <v>385</v>
      </c>
      <c r="F253" s="10" t="s">
        <v>2212</v>
      </c>
      <c r="G253" s="10">
        <v>5</v>
      </c>
      <c r="H253" s="10" t="str">
        <f>_xlfn.XLOOKUP($E253,'games played'!$A:$A,'games played'!K:K,"xxx")</f>
        <v>2B</v>
      </c>
      <c r="I253" s="10" t="b">
        <f>_xlfn.XLOOKUP($E253,'games played'!$A:$A,'games played'!L:L,"xxx")</f>
        <v>0</v>
      </c>
    </row>
    <row r="254" spans="1:9" x14ac:dyDescent="0.2">
      <c r="A254" s="1">
        <v>254</v>
      </c>
      <c r="B254" s="1">
        <f>_xlfn.XLOOKUP($C254,mlb_ids!E:E,mlb_ids!A:A,"xxx")</f>
        <v>668952</v>
      </c>
      <c r="C254" s="11" t="s">
        <v>134</v>
      </c>
      <c r="D254" s="2" t="s">
        <v>134</v>
      </c>
      <c r="E254" s="2" t="s">
        <v>134</v>
      </c>
      <c r="F254" s="10" t="s">
        <v>2218</v>
      </c>
      <c r="G254" s="10">
        <v>5</v>
      </c>
      <c r="H254" s="10" t="str">
        <f>_xlfn.XLOOKUP($E254,'games played'!$A:$A,'games played'!K:K,"xxx")</f>
        <v>SS</v>
      </c>
      <c r="I254" s="10" t="b">
        <f>_xlfn.XLOOKUP($E254,'games played'!$A:$A,'games played'!L:L,"xxx")</f>
        <v>0</v>
      </c>
    </row>
    <row r="255" spans="1:9" x14ac:dyDescent="0.2">
      <c r="A255" s="1">
        <v>255</v>
      </c>
      <c r="B255" s="1">
        <f>_xlfn.XLOOKUP($C255,mlb_ids!E:E,mlb_ids!A:A,"xxx")</f>
        <v>691176</v>
      </c>
      <c r="C255" s="11" t="s">
        <v>483</v>
      </c>
      <c r="D255" s="2" t="s">
        <v>483</v>
      </c>
      <c r="E255" s="2" t="s">
        <v>556</v>
      </c>
      <c r="F255" s="10" t="s">
        <v>2198</v>
      </c>
      <c r="G255" s="10">
        <v>5</v>
      </c>
      <c r="H255" s="10" t="str">
        <f>_xlfn.XLOOKUP($E255,'games played'!$A:$A,'games played'!K:K,"xxx")</f>
        <v>RF</v>
      </c>
      <c r="I255" s="10" t="b">
        <f>_xlfn.XLOOKUP($E255,'games played'!$A:$A,'games played'!L:L,"xxx")</f>
        <v>0</v>
      </c>
    </row>
    <row r="256" spans="1:9" x14ac:dyDescent="0.2">
      <c r="A256" s="1">
        <v>256</v>
      </c>
      <c r="B256" s="1">
        <f>_xlfn.XLOOKUP($C256,mlb_ids!E:E,mlb_ids!A:A,"xxx")</f>
        <v>682848</v>
      </c>
      <c r="C256" s="11" t="s">
        <v>484</v>
      </c>
      <c r="D256" s="2" t="s">
        <v>484</v>
      </c>
      <c r="E256" s="2" t="s">
        <v>652</v>
      </c>
      <c r="F256" s="10" t="s">
        <v>2203</v>
      </c>
      <c r="G256" s="10">
        <v>5</v>
      </c>
      <c r="H256" s="10" t="str">
        <f>_xlfn.XLOOKUP($E256,'games played'!$A:$A,'games played'!K:K,"xxx")</f>
        <v>C</v>
      </c>
      <c r="I256" s="10" t="b">
        <f>_xlfn.XLOOKUP($E256,'games played'!$A:$A,'games played'!L:L,"xxx")</f>
        <v>0</v>
      </c>
    </row>
    <row r="257" spans="1:9" x14ac:dyDescent="0.2">
      <c r="A257" s="1">
        <v>257</v>
      </c>
      <c r="B257" s="1">
        <f>_xlfn.XLOOKUP($C257,mlb_ids!E:E,mlb_ids!A:A,"xxx")</f>
        <v>691011</v>
      </c>
      <c r="C257" s="11" t="s">
        <v>485</v>
      </c>
      <c r="D257" s="2" t="s">
        <v>485</v>
      </c>
      <c r="E257" s="2" t="s">
        <v>485</v>
      </c>
      <c r="F257" s="10" t="s">
        <v>2206</v>
      </c>
      <c r="G257" s="10">
        <v>5</v>
      </c>
      <c r="H257" s="10" t="str">
        <f>_xlfn.XLOOKUP($E257,'games played'!$A:$A,'games played'!K:K,"xxx")</f>
        <v>C</v>
      </c>
      <c r="I257" s="10" t="b">
        <f>_xlfn.XLOOKUP($E257,'games played'!$A:$A,'games played'!L:L,"xxx")</f>
        <v>0</v>
      </c>
    </row>
    <row r="258" spans="1:9" x14ac:dyDescent="0.2">
      <c r="A258" s="1">
        <v>258</v>
      </c>
      <c r="B258" s="1">
        <f>_xlfn.XLOOKUP($C258,mlb_ids!E:E,mlb_ids!A:A,"xxx")</f>
        <v>664056</v>
      </c>
      <c r="C258" s="11" t="s">
        <v>135</v>
      </c>
      <c r="D258" s="2" t="s">
        <v>135</v>
      </c>
      <c r="E258" s="2" t="s">
        <v>135</v>
      </c>
      <c r="F258" s="10" t="s">
        <v>2221</v>
      </c>
      <c r="G258" s="10">
        <v>5</v>
      </c>
      <c r="H258" s="10" t="str">
        <f>_xlfn.XLOOKUP($E258,'games played'!$A:$A,'games played'!K:K,"xxx")</f>
        <v>CF</v>
      </c>
      <c r="I258" s="10" t="b">
        <f>_xlfn.XLOOKUP($E258,'games played'!$A:$A,'games played'!L:L,"xxx")</f>
        <v>0</v>
      </c>
    </row>
    <row r="259" spans="1:9" x14ac:dyDescent="0.2">
      <c r="A259" s="1">
        <v>259</v>
      </c>
      <c r="B259" s="1">
        <f>_xlfn.XLOOKUP($C259,mlb_ids!E:E,mlb_ids!A:A,"xxx")</f>
        <v>683748</v>
      </c>
      <c r="C259" s="11" t="s">
        <v>2124</v>
      </c>
      <c r="D259" s="2" t="s">
        <v>386</v>
      </c>
      <c r="E259" s="2" t="s">
        <v>616</v>
      </c>
      <c r="F259" s="10" t="s">
        <v>2205</v>
      </c>
      <c r="G259" s="10">
        <v>5</v>
      </c>
      <c r="H259" s="10" t="str">
        <f>_xlfn.XLOOKUP($E259,'games played'!$A:$A,'games played'!K:K,"xxx")</f>
        <v>RF</v>
      </c>
      <c r="I259" s="10" t="b">
        <f>_xlfn.XLOOKUP($E259,'games played'!$A:$A,'games played'!L:L,"xxx")</f>
        <v>0</v>
      </c>
    </row>
    <row r="260" spans="1:9" x14ac:dyDescent="0.2">
      <c r="A260" s="1">
        <v>260</v>
      </c>
      <c r="B260" s="1">
        <f>_xlfn.XLOOKUP($C260,mlb_ids!E:E,mlb_ids!A:A,"xxx")</f>
        <v>672356</v>
      </c>
      <c r="C260" s="11" t="s">
        <v>136</v>
      </c>
      <c r="D260" s="2" t="s">
        <v>136</v>
      </c>
      <c r="E260" s="2" t="s">
        <v>136</v>
      </c>
      <c r="F260" s="10" t="s">
        <v>2224</v>
      </c>
      <c r="G260" s="10">
        <v>5</v>
      </c>
      <c r="H260" s="10" t="str">
        <f>_xlfn.XLOOKUP($E260,'games played'!$A:$A,'games played'!K:K,"xxx")</f>
        <v>3B</v>
      </c>
      <c r="I260" s="10" t="b">
        <f>_xlfn.XLOOKUP($E260,'games played'!$A:$A,'games played'!L:L,"xxx")</f>
        <v>0</v>
      </c>
    </row>
    <row r="261" spans="1:9" x14ac:dyDescent="0.2">
      <c r="A261" s="1">
        <v>261</v>
      </c>
      <c r="B261" s="1">
        <f>_xlfn.XLOOKUP($C261,mlb_ids!E:E,mlb_ids!A:A,"xxx")</f>
        <v>642350</v>
      </c>
      <c r="C261" s="11" t="s">
        <v>137</v>
      </c>
      <c r="D261" s="2" t="s">
        <v>137</v>
      </c>
      <c r="E261" s="2" t="s">
        <v>137</v>
      </c>
      <c r="F261" s="10" t="s">
        <v>2210</v>
      </c>
      <c r="G261" s="10">
        <v>5</v>
      </c>
      <c r="H261" s="10" t="str">
        <f>_xlfn.XLOOKUP($E261,'games played'!$A:$A,'games played'!K:K,"xxx")</f>
        <v>CF</v>
      </c>
      <c r="I261" s="10" t="b">
        <f>_xlfn.XLOOKUP($E261,'games played'!$A:$A,'games played'!L:L,"xxx")</f>
        <v>0</v>
      </c>
    </row>
    <row r="262" spans="1:9" x14ac:dyDescent="0.2">
      <c r="A262" s="1">
        <v>262</v>
      </c>
      <c r="B262" s="1">
        <f>_xlfn.XLOOKUP($C262,mlb_ids!E:E,mlb_ids!A:A,"xxx")</f>
        <v>665052</v>
      </c>
      <c r="C262" s="11" t="s">
        <v>387</v>
      </c>
      <c r="D262" s="2" t="s">
        <v>387</v>
      </c>
      <c r="E262" s="2" t="s">
        <v>387</v>
      </c>
      <c r="F262" s="10" t="s">
        <v>2211</v>
      </c>
      <c r="G262" s="10">
        <v>5</v>
      </c>
      <c r="H262" s="10" t="str">
        <f>_xlfn.XLOOKUP($E262,'games played'!$A:$A,'games played'!K:K,"xxx")</f>
        <v>LF</v>
      </c>
      <c r="I262" s="10" t="b">
        <f>_xlfn.XLOOKUP($E262,'games played'!$A:$A,'games played'!L:L,"xxx")</f>
        <v>1</v>
      </c>
    </row>
    <row r="263" spans="1:9" x14ac:dyDescent="0.2">
      <c r="A263" s="1">
        <v>263</v>
      </c>
      <c r="B263" s="1">
        <f>_xlfn.XLOOKUP($C263,mlb_ids!E:E,mlb_ids!A:A,"xxx")</f>
        <v>663538</v>
      </c>
      <c r="C263" s="11" t="s">
        <v>138</v>
      </c>
      <c r="D263" s="2" t="s">
        <v>138</v>
      </c>
      <c r="E263" s="2" t="s">
        <v>138</v>
      </c>
      <c r="F263" s="10" t="s">
        <v>2197</v>
      </c>
      <c r="G263" s="10">
        <v>4</v>
      </c>
      <c r="H263" s="10" t="str">
        <f>_xlfn.XLOOKUP($E263,'games played'!$A:$A,'games played'!K:K,"xxx")</f>
        <v>2B</v>
      </c>
      <c r="I263" s="10" t="b">
        <f>_xlfn.XLOOKUP($E263,'games played'!$A:$A,'games played'!L:L,"xxx")</f>
        <v>0</v>
      </c>
    </row>
    <row r="264" spans="1:9" x14ac:dyDescent="0.2">
      <c r="A264" s="1">
        <v>264</v>
      </c>
      <c r="B264" s="1">
        <f>_xlfn.XLOOKUP($C264,mlb_ids!E:E,mlb_ids!A:A,"xxx")</f>
        <v>650333</v>
      </c>
      <c r="C264" s="11" t="s">
        <v>388</v>
      </c>
      <c r="D264" s="2" t="s">
        <v>388</v>
      </c>
      <c r="E264" s="2" t="s">
        <v>388</v>
      </c>
      <c r="F264" s="10" t="s">
        <v>2221</v>
      </c>
      <c r="G264" s="10">
        <v>4</v>
      </c>
      <c r="H264" s="10" t="str">
        <f>_xlfn.XLOOKUP($E264,'games played'!$A:$A,'games played'!K:K,"xxx")</f>
        <v>2B</v>
      </c>
      <c r="I264" s="10" t="b">
        <f>_xlfn.XLOOKUP($E264,'games played'!$A:$A,'games played'!L:L,"xxx")</f>
        <v>0</v>
      </c>
    </row>
    <row r="265" spans="1:9" x14ac:dyDescent="0.2">
      <c r="A265" s="1">
        <v>265</v>
      </c>
      <c r="B265" s="1">
        <f>_xlfn.XLOOKUP($C265,mlb_ids!E:E,mlb_ids!A:A,"xxx")</f>
        <v>693304</v>
      </c>
      <c r="C265" s="11" t="s">
        <v>139</v>
      </c>
      <c r="D265" s="2" t="s">
        <v>139</v>
      </c>
      <c r="E265" s="2" t="s">
        <v>139</v>
      </c>
      <c r="F265" s="10" t="s">
        <v>2203</v>
      </c>
      <c r="G265" s="10">
        <v>4</v>
      </c>
      <c r="H265" s="10" t="str">
        <f>_xlfn.XLOOKUP($E265,'games played'!$A:$A,'games played'!K:K,"xxx")</f>
        <v>3B</v>
      </c>
      <c r="I265" s="10" t="b">
        <f>_xlfn.XLOOKUP($E265,'games played'!$A:$A,'games played'!L:L,"xxx")</f>
        <v>0</v>
      </c>
    </row>
    <row r="266" spans="1:9" x14ac:dyDescent="0.2">
      <c r="A266" s="1">
        <v>266</v>
      </c>
      <c r="B266" s="1">
        <f>_xlfn.XLOOKUP($C266,mlb_ids!E:E,mlb_ids!A:A,"xxx")</f>
        <v>691026</v>
      </c>
      <c r="C266" s="11" t="s">
        <v>140</v>
      </c>
      <c r="D266" s="2" t="s">
        <v>140</v>
      </c>
      <c r="E266" s="2" t="s">
        <v>140</v>
      </c>
      <c r="F266" s="10" t="s">
        <v>2199</v>
      </c>
      <c r="G266" s="10">
        <v>4</v>
      </c>
      <c r="H266" s="10" t="str">
        <f>_xlfn.XLOOKUP($E266,'games played'!$A:$A,'games played'!K:K,"xxx")</f>
        <v>SS</v>
      </c>
      <c r="I266" s="10" t="b">
        <f>_xlfn.XLOOKUP($E266,'games played'!$A:$A,'games played'!L:L,"xxx")</f>
        <v>0</v>
      </c>
    </row>
    <row r="267" spans="1:9" x14ac:dyDescent="0.2">
      <c r="A267" s="1">
        <v>267</v>
      </c>
      <c r="B267" s="1">
        <f>_xlfn.XLOOKUP($C267,mlb_ids!E:E,mlb_ids!A:A,"xxx")</f>
        <v>807712</v>
      </c>
      <c r="C267" s="11" t="s">
        <v>141</v>
      </c>
      <c r="D267" s="2" t="s">
        <v>141</v>
      </c>
      <c r="E267" s="2" t="s">
        <v>141</v>
      </c>
      <c r="F267" s="10" t="s">
        <v>2218</v>
      </c>
      <c r="G267" s="10">
        <v>4</v>
      </c>
      <c r="H267" s="10" t="str">
        <f>_xlfn.XLOOKUP($E267,'games played'!$A:$A,'games played'!K:K,"xxx")</f>
        <v>2B</v>
      </c>
      <c r="I267" s="10" t="b">
        <f>_xlfn.XLOOKUP($E267,'games played'!$A:$A,'games played'!L:L,"xxx")</f>
        <v>0</v>
      </c>
    </row>
    <row r="268" spans="1:9" x14ac:dyDescent="0.2">
      <c r="A268" s="1">
        <v>268</v>
      </c>
      <c r="B268" s="1">
        <f>_xlfn.XLOOKUP($C268,mlb_ids!E:E,mlb_ids!A:A,"xxx")</f>
        <v>683146</v>
      </c>
      <c r="C268" s="11" t="s">
        <v>389</v>
      </c>
      <c r="D268" s="2" t="s">
        <v>389</v>
      </c>
      <c r="E268" s="2" t="s">
        <v>389</v>
      </c>
      <c r="F268" s="10" t="s">
        <v>2219</v>
      </c>
      <c r="G268" s="10">
        <v>4</v>
      </c>
      <c r="H268" s="10" t="str">
        <f>_xlfn.XLOOKUP($E268,'games played'!$A:$A,'games played'!K:K,"xxx")</f>
        <v>3B</v>
      </c>
      <c r="I268" s="10" t="b">
        <f>_xlfn.XLOOKUP($E268,'games played'!$A:$A,'games played'!L:L,"xxx")</f>
        <v>0</v>
      </c>
    </row>
    <row r="269" spans="1:9" x14ac:dyDescent="0.2">
      <c r="A269" s="1">
        <v>269</v>
      </c>
      <c r="B269" s="1">
        <f>_xlfn.XLOOKUP($C269,mlb_ids!E:E,mlb_ids!A:A,"xxx")</f>
        <v>686217</v>
      </c>
      <c r="C269" s="11" t="s">
        <v>390</v>
      </c>
      <c r="D269" s="2" t="s">
        <v>390</v>
      </c>
      <c r="E269" s="2" t="s">
        <v>390</v>
      </c>
      <c r="F269" s="10" t="s">
        <v>2204</v>
      </c>
      <c r="G269" s="10">
        <v>4</v>
      </c>
      <c r="H269" s="10" t="str">
        <f>_xlfn.XLOOKUP($E269,'games played'!$A:$A,'games played'!K:K,"xxx")</f>
        <v>RF</v>
      </c>
      <c r="I269" s="10" t="b">
        <f>_xlfn.XLOOKUP($E269,'games played'!$A:$A,'games played'!L:L,"xxx")</f>
        <v>0</v>
      </c>
    </row>
    <row r="270" spans="1:9" x14ac:dyDescent="0.2">
      <c r="A270" s="1">
        <v>270</v>
      </c>
      <c r="B270" s="1">
        <f>_xlfn.XLOOKUP($C270,mlb_ids!E:E,mlb_ids!A:A,"xxx")</f>
        <v>665750</v>
      </c>
      <c r="C270" s="11" t="s">
        <v>486</v>
      </c>
      <c r="D270" s="2" t="s">
        <v>486</v>
      </c>
      <c r="E270" s="2" t="s">
        <v>486</v>
      </c>
      <c r="F270" s="10" t="s">
        <v>2212</v>
      </c>
      <c r="G270" s="10">
        <v>4</v>
      </c>
      <c r="H270" s="10" t="str">
        <f>_xlfn.XLOOKUP($E270,'games played'!$A:$A,'games played'!K:K,"xxx")</f>
        <v>CF</v>
      </c>
      <c r="I270" s="10" t="b">
        <f>_xlfn.XLOOKUP($E270,'games played'!$A:$A,'games played'!L:L,"xxx")</f>
        <v>0</v>
      </c>
    </row>
    <row r="271" spans="1:9" x14ac:dyDescent="0.2">
      <c r="A271" s="1">
        <v>271</v>
      </c>
      <c r="B271" s="1">
        <f>_xlfn.XLOOKUP($C271,mlb_ids!E:E,mlb_ids!A:A,"xxx")</f>
        <v>656716</v>
      </c>
      <c r="C271" s="11" t="s">
        <v>391</v>
      </c>
      <c r="D271" s="2" t="s">
        <v>391</v>
      </c>
      <c r="E271" s="2" t="s">
        <v>391</v>
      </c>
      <c r="F271" s="10" t="s">
        <v>2217</v>
      </c>
      <c r="G271" s="10">
        <v>4</v>
      </c>
      <c r="H271" s="10" t="str">
        <f>_xlfn.XLOOKUP($E271,'games played'!$A:$A,'games played'!K:K,"xxx")</f>
        <v>2B</v>
      </c>
      <c r="I271" s="10" t="b">
        <f>_xlfn.XLOOKUP($E271,'games played'!$A:$A,'games played'!L:L,"xxx")</f>
        <v>0</v>
      </c>
    </row>
    <row r="272" spans="1:9" x14ac:dyDescent="0.2">
      <c r="A272" s="1">
        <v>272</v>
      </c>
      <c r="B272" s="1">
        <f>_xlfn.XLOOKUP($C272,mlb_ids!E:E,mlb_ids!A:A,"xxx")</f>
        <v>677942</v>
      </c>
      <c r="C272" s="11" t="s">
        <v>142</v>
      </c>
      <c r="D272" s="2" t="s">
        <v>142</v>
      </c>
      <c r="E272" s="2" t="s">
        <v>142</v>
      </c>
      <c r="F272" s="10" t="s">
        <v>2212</v>
      </c>
      <c r="G272" s="10">
        <v>4</v>
      </c>
      <c r="H272" s="10" t="str">
        <f>_xlfn.XLOOKUP($E272,'games played'!$A:$A,'games played'!K:K,"xxx")</f>
        <v>3B</v>
      </c>
      <c r="I272" s="10" t="b">
        <f>_xlfn.XLOOKUP($E272,'games played'!$A:$A,'games played'!L:L,"xxx")</f>
        <v>0</v>
      </c>
    </row>
    <row r="273" spans="1:9" x14ac:dyDescent="0.2">
      <c r="A273" s="1">
        <v>273</v>
      </c>
      <c r="B273" s="1">
        <f>_xlfn.XLOOKUP($C273,mlb_ids!E:E,mlb_ids!A:A,"xxx")</f>
        <v>805779</v>
      </c>
      <c r="C273" s="11" t="s">
        <v>143</v>
      </c>
      <c r="D273" s="2" t="s">
        <v>143</v>
      </c>
      <c r="E273" s="2" t="s">
        <v>143</v>
      </c>
      <c r="F273" s="10" t="s">
        <v>2200</v>
      </c>
      <c r="G273" s="10">
        <v>4</v>
      </c>
      <c r="H273" s="10" t="str">
        <f>_xlfn.XLOOKUP($E273,'games played'!$A:$A,'games played'!K:K,"xxx")</f>
        <v>SS</v>
      </c>
      <c r="I273" s="10" t="b">
        <f>_xlfn.XLOOKUP($E273,'games played'!$A:$A,'games played'!L:L,"xxx")</f>
        <v>0</v>
      </c>
    </row>
    <row r="274" spans="1:9" x14ac:dyDescent="0.2">
      <c r="A274" s="1">
        <v>274</v>
      </c>
      <c r="B274" s="1">
        <f>_xlfn.XLOOKUP($C274,mlb_ids!E:E,mlb_ids!A:A,"xxx")</f>
        <v>681393</v>
      </c>
      <c r="C274" s="11" t="s">
        <v>144</v>
      </c>
      <c r="D274" s="2" t="s">
        <v>144</v>
      </c>
      <c r="E274" s="2" t="s">
        <v>144</v>
      </c>
      <c r="F274" s="10" t="s">
        <v>2211</v>
      </c>
      <c r="G274" s="10">
        <v>4</v>
      </c>
      <c r="H274" s="10" t="str">
        <f>_xlfn.XLOOKUP($E274,'games played'!$A:$A,'games played'!K:K,"xxx")</f>
        <v>1B</v>
      </c>
      <c r="I274" s="10" t="b">
        <f>_xlfn.XLOOKUP($E274,'games played'!$A:$A,'games played'!L:L,"xxx")</f>
        <v>0</v>
      </c>
    </row>
    <row r="275" spans="1:9" x14ac:dyDescent="0.2">
      <c r="A275" s="1">
        <v>275</v>
      </c>
      <c r="B275" s="1">
        <f>_xlfn.XLOOKUP($C275,mlb_ids!E:E,mlb_ids!A:A,"xxx")</f>
        <v>681351</v>
      </c>
      <c r="C275" s="11" t="s">
        <v>145</v>
      </c>
      <c r="D275" s="2" t="s">
        <v>145</v>
      </c>
      <c r="E275" s="2" t="s">
        <v>145</v>
      </c>
      <c r="F275" s="10" t="s">
        <v>2210</v>
      </c>
      <c r="G275" s="10">
        <v>4</v>
      </c>
      <c r="H275" s="10" t="str">
        <f>_xlfn.XLOOKUP($E275,'games played'!$A:$A,'games played'!K:K,"xxx")</f>
        <v>C</v>
      </c>
      <c r="I275" s="10" t="b">
        <f>_xlfn.XLOOKUP($E275,'games played'!$A:$A,'games played'!L:L,"xxx")</f>
        <v>0</v>
      </c>
    </row>
    <row r="276" spans="1:9" x14ac:dyDescent="0.2">
      <c r="A276" s="1">
        <v>276</v>
      </c>
      <c r="B276" s="1">
        <f>_xlfn.XLOOKUP($C276,mlb_ids!E:E,mlb_ids!A:A,"xxx")</f>
        <v>687551</v>
      </c>
      <c r="C276" s="11" t="s">
        <v>392</v>
      </c>
      <c r="D276" s="2" t="s">
        <v>392</v>
      </c>
      <c r="E276" s="2" t="s">
        <v>392</v>
      </c>
      <c r="F276" s="10" t="s">
        <v>2221</v>
      </c>
      <c r="G276" s="10">
        <v>4</v>
      </c>
      <c r="H276" s="10" t="str">
        <f>_xlfn.XLOOKUP($E276,'games played'!$A:$A,'games played'!K:K,"xxx")</f>
        <v>CF</v>
      </c>
      <c r="I276" s="10" t="b">
        <f>_xlfn.XLOOKUP($E276,'games played'!$A:$A,'games played'!L:L,"xxx")</f>
        <v>0</v>
      </c>
    </row>
    <row r="277" spans="1:9" x14ac:dyDescent="0.2">
      <c r="A277" s="1">
        <v>277</v>
      </c>
      <c r="B277" s="1">
        <f>_xlfn.XLOOKUP($C277,mlb_ids!E:E,mlb_ids!A:A,"xxx")</f>
        <v>679845</v>
      </c>
      <c r="C277" s="11" t="s">
        <v>146</v>
      </c>
      <c r="D277" s="2" t="s">
        <v>146</v>
      </c>
      <c r="E277" s="2" t="s">
        <v>146</v>
      </c>
      <c r="F277" s="10" t="s">
        <v>2209</v>
      </c>
      <c r="G277" s="10">
        <v>4</v>
      </c>
      <c r="H277" s="10" t="str">
        <f>_xlfn.XLOOKUP($E277,'games played'!$A:$A,'games played'!K:K,"xxx")</f>
        <v>3B</v>
      </c>
      <c r="I277" s="10" t="b">
        <f>_xlfn.XLOOKUP($E277,'games played'!$A:$A,'games played'!L:L,"xxx")</f>
        <v>0</v>
      </c>
    </row>
    <row r="278" spans="1:9" x14ac:dyDescent="0.2">
      <c r="A278" s="1">
        <v>278</v>
      </c>
      <c r="B278" s="1">
        <f>_xlfn.XLOOKUP($C278,mlb_ids!E:E,mlb_ids!A:A,"xxx")</f>
        <v>650402</v>
      </c>
      <c r="C278" s="11" t="s">
        <v>147</v>
      </c>
      <c r="D278" s="2" t="s">
        <v>147</v>
      </c>
      <c r="E278" s="2" t="s">
        <v>147</v>
      </c>
      <c r="F278" s="10" t="s">
        <v>2217</v>
      </c>
      <c r="G278" s="10">
        <v>4</v>
      </c>
      <c r="H278" s="10" t="str">
        <f>_xlfn.XLOOKUP($E278,'games played'!$A:$A,'games played'!K:K,"xxx")</f>
        <v>2B</v>
      </c>
      <c r="I278" s="10" t="b">
        <f>_xlfn.XLOOKUP($E278,'games played'!$A:$A,'games played'!L:L,"xxx")</f>
        <v>0</v>
      </c>
    </row>
    <row r="279" spans="1:9" x14ac:dyDescent="0.2">
      <c r="A279" s="1">
        <v>279</v>
      </c>
      <c r="B279" s="1">
        <f>_xlfn.XLOOKUP($C279,mlb_ids!E:E,mlb_ids!A:A,"xxx")</f>
        <v>656484</v>
      </c>
      <c r="C279" s="11" t="s">
        <v>393</v>
      </c>
      <c r="D279" s="2" t="s">
        <v>393</v>
      </c>
      <c r="E279" s="2" t="s">
        <v>393</v>
      </c>
      <c r="F279" s="10" t="s">
        <v>2218</v>
      </c>
      <c r="G279" s="10">
        <v>4</v>
      </c>
      <c r="H279" s="10" t="str">
        <f>_xlfn.XLOOKUP($E279,'games played'!$A:$A,'games played'!K:K,"xxx")</f>
        <v>SS</v>
      </c>
      <c r="I279" s="10" t="b">
        <f>_xlfn.XLOOKUP($E279,'games played'!$A:$A,'games played'!L:L,"xxx")</f>
        <v>0</v>
      </c>
    </row>
    <row r="280" spans="1:9" x14ac:dyDescent="0.2">
      <c r="A280" s="1">
        <v>280</v>
      </c>
      <c r="B280" s="1">
        <f>_xlfn.XLOOKUP($C280,mlb_ids!E:E,mlb_ids!A:A,"xxx")</f>
        <v>665877</v>
      </c>
      <c r="C280" s="11" t="s">
        <v>148</v>
      </c>
      <c r="D280" s="2" t="s">
        <v>148</v>
      </c>
      <c r="E280" s="2" t="s">
        <v>565</v>
      </c>
      <c r="F280" s="10" t="s">
        <v>2199</v>
      </c>
      <c r="G280" s="10">
        <v>4</v>
      </c>
      <c r="H280" s="10" t="str">
        <f>_xlfn.XLOOKUP($E280,'games played'!$A:$A,'games played'!K:K,"xxx")</f>
        <v>LF</v>
      </c>
      <c r="I280" s="10" t="b">
        <f>_xlfn.XLOOKUP($E280,'games played'!$A:$A,'games played'!L:L,"xxx")</f>
        <v>0</v>
      </c>
    </row>
    <row r="281" spans="1:9" x14ac:dyDescent="0.2">
      <c r="A281" s="1">
        <v>281</v>
      </c>
      <c r="B281" s="1">
        <f>_xlfn.XLOOKUP($C281,mlb_ids!E:E,mlb_ids!A:A,"xxx")</f>
        <v>686780</v>
      </c>
      <c r="C281" s="11" t="s">
        <v>149</v>
      </c>
      <c r="D281" s="2" t="s">
        <v>149</v>
      </c>
      <c r="E281" s="2" t="s">
        <v>630</v>
      </c>
      <c r="F281" s="10" t="s">
        <v>2199</v>
      </c>
      <c r="G281" s="10">
        <v>4</v>
      </c>
      <c r="H281" s="10" t="str">
        <f>_xlfn.XLOOKUP($E281,'games played'!$A:$A,'games played'!K:K,"xxx")</f>
        <v>C</v>
      </c>
      <c r="I281" s="10" t="b">
        <f>_xlfn.XLOOKUP($E281,'games played'!$A:$A,'games played'!L:L,"xxx")</f>
        <v>0</v>
      </c>
    </row>
    <row r="282" spans="1:9" x14ac:dyDescent="0.2">
      <c r="A282" s="1">
        <v>282</v>
      </c>
      <c r="B282" s="1">
        <f>_xlfn.XLOOKUP($C282,mlb_ids!E:E,mlb_ids!A:A,"xxx")</f>
        <v>701678</v>
      </c>
      <c r="C282" s="11" t="s">
        <v>150</v>
      </c>
      <c r="D282" s="2" t="s">
        <v>150</v>
      </c>
      <c r="E282" s="2" t="s">
        <v>150</v>
      </c>
      <c r="F282" s="10" t="s">
        <v>2217</v>
      </c>
      <c r="G282" s="10">
        <v>4</v>
      </c>
      <c r="H282" s="10" t="str">
        <f>_xlfn.XLOOKUP($E282,'games played'!$A:$A,'games played'!K:K,"xxx")</f>
        <v>2B</v>
      </c>
      <c r="I282" s="10" t="b">
        <f>_xlfn.XLOOKUP($E282,'games played'!$A:$A,'games played'!L:L,"xxx")</f>
        <v>0</v>
      </c>
    </row>
    <row r="283" spans="1:9" x14ac:dyDescent="0.2">
      <c r="A283" s="1">
        <v>283</v>
      </c>
      <c r="B283" s="1">
        <f>_xlfn.XLOOKUP($C283,mlb_ids!E:E,mlb_ids!A:A,"xxx")</f>
        <v>807713</v>
      </c>
      <c r="C283" s="11" t="s">
        <v>151</v>
      </c>
      <c r="D283" s="2" t="s">
        <v>151</v>
      </c>
      <c r="E283" s="2" t="s">
        <v>151</v>
      </c>
      <c r="F283" s="10" t="s">
        <v>2197</v>
      </c>
      <c r="G283" s="10">
        <v>4</v>
      </c>
      <c r="H283" s="10" t="str">
        <f>_xlfn.XLOOKUP($E283,'games played'!$A:$A,'games played'!K:K,"xxx")</f>
        <v>RF</v>
      </c>
      <c r="I283" s="10" t="b">
        <f>_xlfn.XLOOKUP($E283,'games played'!$A:$A,'games played'!L:L,"xxx")</f>
        <v>0</v>
      </c>
    </row>
    <row r="284" spans="1:9" x14ac:dyDescent="0.2">
      <c r="A284" s="1">
        <v>284</v>
      </c>
      <c r="B284" s="1">
        <f>_xlfn.XLOOKUP($C284,mlb_ids!E:E,mlb_ids!A:A,"xxx")</f>
        <v>669004</v>
      </c>
      <c r="C284" s="11" t="s">
        <v>394</v>
      </c>
      <c r="D284" s="2" t="s">
        <v>394</v>
      </c>
      <c r="E284" s="2" t="s">
        <v>394</v>
      </c>
      <c r="F284" s="10" t="s">
        <v>2219</v>
      </c>
      <c r="G284" s="10">
        <v>4</v>
      </c>
      <c r="H284" s="10" t="str">
        <f>_xlfn.XLOOKUP($E284,'games played'!$A:$A,'games played'!K:K,"xxx")</f>
        <v>DH</v>
      </c>
      <c r="I284" s="10" t="b">
        <f>_xlfn.XLOOKUP($E284,'games played'!$A:$A,'games played'!L:L,"xxx")</f>
        <v>0</v>
      </c>
    </row>
    <row r="285" spans="1:9" x14ac:dyDescent="0.2">
      <c r="A285" s="1">
        <v>285</v>
      </c>
      <c r="B285" s="1">
        <f>_xlfn.XLOOKUP($C285,mlb_ids!E:E,mlb_ids!A:A,"xxx")</f>
        <v>670242</v>
      </c>
      <c r="C285" s="11" t="s">
        <v>395</v>
      </c>
      <c r="D285" s="2" t="s">
        <v>395</v>
      </c>
      <c r="E285" s="2" t="s">
        <v>395</v>
      </c>
      <c r="F285" s="10" t="s">
        <v>2218</v>
      </c>
      <c r="G285" s="10">
        <v>4</v>
      </c>
      <c r="H285" s="10" t="str">
        <f>_xlfn.XLOOKUP($E285,'games played'!$A:$A,'games played'!K:K,"xxx")</f>
        <v>RF</v>
      </c>
      <c r="I285" s="10" t="b">
        <f>_xlfn.XLOOKUP($E285,'games played'!$A:$A,'games played'!L:L,"xxx")</f>
        <v>0</v>
      </c>
    </row>
    <row r="286" spans="1:9" x14ac:dyDescent="0.2">
      <c r="A286" s="1">
        <v>286</v>
      </c>
      <c r="B286" s="1">
        <f>_xlfn.XLOOKUP($C286,mlb_ids!E:E,mlb_ids!A:A,"xxx")</f>
        <v>622761</v>
      </c>
      <c r="C286" s="11" t="s">
        <v>152</v>
      </c>
      <c r="D286" s="2" t="s">
        <v>152</v>
      </c>
      <c r="E286" s="2" t="s">
        <v>152</v>
      </c>
      <c r="F286" s="10" t="s">
        <v>2207</v>
      </c>
      <c r="G286" s="10">
        <v>4</v>
      </c>
      <c r="H286" s="10" t="str">
        <f>_xlfn.XLOOKUP($E286,'games played'!$A:$A,'games played'!K:K,"xxx")</f>
        <v>SS</v>
      </c>
      <c r="I286" s="10" t="b">
        <f>_xlfn.XLOOKUP($E286,'games played'!$A:$A,'games played'!L:L,"xxx")</f>
        <v>0</v>
      </c>
    </row>
    <row r="287" spans="1:9" x14ac:dyDescent="0.2">
      <c r="A287" s="1">
        <v>287</v>
      </c>
      <c r="B287" s="1">
        <f>_xlfn.XLOOKUP($C287,mlb_ids!E:E,mlb_ids!A:A,"xxx")</f>
        <v>694371</v>
      </c>
      <c r="C287" s="11" t="s">
        <v>153</v>
      </c>
      <c r="D287" s="2" t="s">
        <v>153</v>
      </c>
      <c r="E287" s="2" t="s">
        <v>153</v>
      </c>
      <c r="F287" s="10" t="s">
        <v>2215</v>
      </c>
      <c r="G287" s="10">
        <v>4</v>
      </c>
      <c r="H287" s="10" t="str">
        <f>_xlfn.XLOOKUP($E287,'games played'!$A:$A,'games played'!K:K,"xxx")</f>
        <v>LF</v>
      </c>
      <c r="I287" s="10" t="b">
        <f>_xlfn.XLOOKUP($E287,'games played'!$A:$A,'games played'!L:L,"xxx")</f>
        <v>0</v>
      </c>
    </row>
    <row r="288" spans="1:9" x14ac:dyDescent="0.2">
      <c r="A288" s="1">
        <v>288</v>
      </c>
      <c r="B288" s="1">
        <f>_xlfn.XLOOKUP($C288,mlb_ids!E:E,mlb_ids!A:A,"xxx")</f>
        <v>664954</v>
      </c>
      <c r="C288" s="11" t="s">
        <v>396</v>
      </c>
      <c r="D288" s="2" t="s">
        <v>396</v>
      </c>
      <c r="E288" s="2" t="s">
        <v>396</v>
      </c>
      <c r="F288" s="10" t="s">
        <v>2214</v>
      </c>
      <c r="G288" s="10">
        <v>4</v>
      </c>
      <c r="H288" s="10" t="str">
        <f>_xlfn.XLOOKUP($E288,'games played'!$A:$A,'games played'!K:K,"xxx")</f>
        <v>C</v>
      </c>
      <c r="I288" s="10" t="b">
        <f>_xlfn.XLOOKUP($E288,'games played'!$A:$A,'games played'!L:L,"xxx")</f>
        <v>0</v>
      </c>
    </row>
    <row r="289" spans="1:9" x14ac:dyDescent="0.2">
      <c r="A289" s="1">
        <v>289</v>
      </c>
      <c r="B289" s="1">
        <f>_xlfn.XLOOKUP($C289,mlb_ids!E:E,mlb_ids!A:A,"xxx")</f>
        <v>641598</v>
      </c>
      <c r="C289" s="11" t="s">
        <v>154</v>
      </c>
      <c r="D289" s="2" t="s">
        <v>154</v>
      </c>
      <c r="E289" s="2" t="s">
        <v>154</v>
      </c>
      <c r="F289" s="10" t="s">
        <v>2213</v>
      </c>
      <c r="G289" s="10">
        <v>4</v>
      </c>
      <c r="H289" s="10" t="str">
        <f>_xlfn.XLOOKUP($E289,'games played'!$A:$A,'games played'!K:K,"xxx")</f>
        <v>C</v>
      </c>
      <c r="I289" s="10" t="b">
        <f>_xlfn.XLOOKUP($E289,'games played'!$A:$A,'games played'!L:L,"xxx")</f>
        <v>0</v>
      </c>
    </row>
    <row r="290" spans="1:9" x14ac:dyDescent="0.2">
      <c r="A290" s="1">
        <v>290</v>
      </c>
      <c r="B290" s="1">
        <f>_xlfn.XLOOKUP($C290,mlb_ids!E:E,mlb_ids!A:A,"xxx")</f>
        <v>642201</v>
      </c>
      <c r="C290" s="11" t="s">
        <v>155</v>
      </c>
      <c r="D290" s="2" t="s">
        <v>155</v>
      </c>
      <c r="E290" s="2" t="s">
        <v>155</v>
      </c>
      <c r="F290" s="10" t="s">
        <v>2207</v>
      </c>
      <c r="G290" s="10">
        <v>4</v>
      </c>
      <c r="H290" s="10" t="str">
        <f>_xlfn.XLOOKUP($E290,'games played'!$A:$A,'games played'!K:K,"xxx")</f>
        <v>RF</v>
      </c>
      <c r="I290" s="10" t="b">
        <f>_xlfn.XLOOKUP($E290,'games played'!$A:$A,'games played'!L:L,"xxx")</f>
        <v>0</v>
      </c>
    </row>
    <row r="291" spans="1:9" x14ac:dyDescent="0.2">
      <c r="A291" s="1">
        <v>291</v>
      </c>
      <c r="B291" s="1">
        <f>_xlfn.XLOOKUP($C291,mlb_ids!E:E,mlb_ids!A:A,"xxx")</f>
        <v>592206</v>
      </c>
      <c r="C291" s="11" t="s">
        <v>156</v>
      </c>
      <c r="D291" s="2" t="s">
        <v>156</v>
      </c>
      <c r="E291" s="2" t="s">
        <v>156</v>
      </c>
      <c r="F291" s="10" t="s">
        <v>2222</v>
      </c>
      <c r="G291" s="10">
        <v>4</v>
      </c>
      <c r="H291" s="10" t="str">
        <f>_xlfn.XLOOKUP($E291,'games played'!$A:$A,'games played'!K:K,"xxx")</f>
        <v>RF</v>
      </c>
      <c r="I291" s="10" t="b">
        <f>_xlfn.XLOOKUP($E291,'games played'!$A:$A,'games played'!L:L,"xxx")</f>
        <v>0</v>
      </c>
    </row>
    <row r="292" spans="1:9" x14ac:dyDescent="0.2">
      <c r="A292" s="1">
        <v>292</v>
      </c>
      <c r="B292" s="1">
        <f>_xlfn.XLOOKUP($C292,mlb_ids!E:E,mlb_ids!A:A,"xxx")</f>
        <v>694249</v>
      </c>
      <c r="C292" s="11" t="s">
        <v>487</v>
      </c>
      <c r="D292" s="2" t="s">
        <v>487</v>
      </c>
      <c r="E292" s="2" t="s">
        <v>487</v>
      </c>
      <c r="F292" s="10" t="s">
        <v>2214</v>
      </c>
      <c r="G292" s="10">
        <v>4</v>
      </c>
      <c r="H292" s="10" t="str">
        <f>_xlfn.XLOOKUP($E292,'games played'!$A:$A,'games played'!K:K,"xxx")</f>
        <v>CF</v>
      </c>
      <c r="I292" s="10" t="b">
        <f>_xlfn.XLOOKUP($E292,'games played'!$A:$A,'games played'!L:L,"xxx")</f>
        <v>0</v>
      </c>
    </row>
    <row r="293" spans="1:9" x14ac:dyDescent="0.2">
      <c r="A293" s="1">
        <v>293</v>
      </c>
      <c r="B293" s="1">
        <f>_xlfn.XLOOKUP($C293,mlb_ids!E:E,mlb_ids!A:A,"xxx")</f>
        <v>665923</v>
      </c>
      <c r="C293" s="11" t="s">
        <v>157</v>
      </c>
      <c r="D293" s="2" t="s">
        <v>157</v>
      </c>
      <c r="E293" s="2" t="s">
        <v>157</v>
      </c>
      <c r="F293" s="10" t="s">
        <v>2211</v>
      </c>
      <c r="G293" s="10">
        <v>4</v>
      </c>
      <c r="H293" s="10" t="str">
        <f>_xlfn.XLOOKUP($E293,'games played'!$A:$A,'games played'!K:K,"xxx")</f>
        <v>RF</v>
      </c>
      <c r="I293" s="10" t="b">
        <f>_xlfn.XLOOKUP($E293,'games played'!$A:$A,'games played'!L:L,"xxx")</f>
        <v>0</v>
      </c>
    </row>
    <row r="294" spans="1:9" x14ac:dyDescent="0.2">
      <c r="A294" s="1">
        <v>294</v>
      </c>
      <c r="B294" s="1">
        <f>_xlfn.XLOOKUP($C294,mlb_ids!E:E,mlb_ids!A:A,"xxx")</f>
        <v>694203</v>
      </c>
      <c r="C294" s="11" t="s">
        <v>575</v>
      </c>
      <c r="D294" s="2" t="s">
        <v>158</v>
      </c>
      <c r="E294" s="2" t="s">
        <v>575</v>
      </c>
      <c r="F294" s="10" t="s">
        <v>2210</v>
      </c>
      <c r="G294" s="10">
        <v>4</v>
      </c>
      <c r="H294" s="10" t="str">
        <f>_xlfn.XLOOKUP($E294,'games played'!$A:$A,'games played'!K:K,"xxx")</f>
        <v>3B</v>
      </c>
      <c r="I294" s="10" t="b">
        <f>_xlfn.XLOOKUP($E294,'games played'!$A:$A,'games played'!L:L,"xxx")</f>
        <v>0</v>
      </c>
    </row>
    <row r="295" spans="1:9" x14ac:dyDescent="0.2">
      <c r="A295" s="1">
        <v>295</v>
      </c>
      <c r="B295" s="1">
        <f>_xlfn.XLOOKUP($C295,mlb_ids!E:E,mlb_ids!A:A,"xxx")</f>
        <v>687515</v>
      </c>
      <c r="C295" s="11" t="s">
        <v>159</v>
      </c>
      <c r="D295" s="2" t="s">
        <v>159</v>
      </c>
      <c r="E295" s="2" t="s">
        <v>159</v>
      </c>
      <c r="F295" s="10" t="s">
        <v>2200</v>
      </c>
      <c r="G295" s="10">
        <v>4</v>
      </c>
      <c r="H295" s="10" t="str">
        <f>_xlfn.XLOOKUP($E295,'games played'!$A:$A,'games played'!K:K,"xxx")</f>
        <v>RF</v>
      </c>
      <c r="I295" s="10" t="b">
        <f>_xlfn.XLOOKUP($E295,'games played'!$A:$A,'games played'!L:L,"xxx")</f>
        <v>0</v>
      </c>
    </row>
    <row r="296" spans="1:9" x14ac:dyDescent="0.2">
      <c r="A296" s="1">
        <v>296</v>
      </c>
      <c r="B296" s="1">
        <f>_xlfn.XLOOKUP($C296,mlb_ids!E:E,mlb_ids!A:A,"xxx")</f>
        <v>663698</v>
      </c>
      <c r="C296" s="11" t="s">
        <v>160</v>
      </c>
      <c r="D296" s="2" t="s">
        <v>160</v>
      </c>
      <c r="E296" s="2" t="s">
        <v>160</v>
      </c>
      <c r="F296" s="10" t="s">
        <v>2203</v>
      </c>
      <c r="G296" s="10">
        <v>4</v>
      </c>
      <c r="H296" s="10" t="str">
        <f>_xlfn.XLOOKUP($E296,'games played'!$A:$A,'games played'!K:K,"xxx")</f>
        <v>C</v>
      </c>
      <c r="I296" s="10" t="b">
        <f>_xlfn.XLOOKUP($E296,'games played'!$A:$A,'games played'!L:L,"xxx")</f>
        <v>0</v>
      </c>
    </row>
    <row r="297" spans="1:9" x14ac:dyDescent="0.2">
      <c r="A297" s="1">
        <v>297</v>
      </c>
      <c r="B297" s="1">
        <f>_xlfn.XLOOKUP($C297,mlb_ids!E:E,mlb_ids!A:A,"xxx")</f>
        <v>553869</v>
      </c>
      <c r="C297" s="11" t="s">
        <v>161</v>
      </c>
      <c r="D297" s="2" t="s">
        <v>161</v>
      </c>
      <c r="E297" s="2" t="s">
        <v>554</v>
      </c>
      <c r="F297" s="10" t="s">
        <v>2223</v>
      </c>
      <c r="G297" s="10">
        <v>4</v>
      </c>
      <c r="H297" s="10" t="str">
        <f>_xlfn.XLOOKUP($E297,'games played'!$A:$A,'games played'!K:K,"xxx")</f>
        <v>C</v>
      </c>
      <c r="I297" s="10" t="b">
        <f>_xlfn.XLOOKUP($E297,'games played'!$A:$A,'games played'!L:L,"xxx")</f>
        <v>0</v>
      </c>
    </row>
    <row r="298" spans="1:9" x14ac:dyDescent="0.2">
      <c r="A298" s="1">
        <v>298</v>
      </c>
      <c r="B298" s="1">
        <f>_xlfn.XLOOKUP($C298,mlb_ids!E:E,mlb_ids!A:A,"xxx")</f>
        <v>606992</v>
      </c>
      <c r="C298" s="11" t="s">
        <v>162</v>
      </c>
      <c r="D298" s="2" t="s">
        <v>162</v>
      </c>
      <c r="E298" s="2" t="s">
        <v>162</v>
      </c>
      <c r="F298" s="10" t="s">
        <v>2221</v>
      </c>
      <c r="G298" s="10">
        <v>4</v>
      </c>
      <c r="H298" s="10" t="str">
        <f>_xlfn.XLOOKUP($E298,'games played'!$A:$A,'games played'!K:K,"xxx")</f>
        <v>C</v>
      </c>
      <c r="I298" s="10" t="b">
        <f>_xlfn.XLOOKUP($E298,'games played'!$A:$A,'games played'!L:L,"xxx")</f>
        <v>0</v>
      </c>
    </row>
    <row r="299" spans="1:9" x14ac:dyDescent="0.2">
      <c r="A299" s="1">
        <v>299</v>
      </c>
      <c r="B299" s="1">
        <f>_xlfn.XLOOKUP($C299,mlb_ids!E:E,mlb_ids!A:A,"xxx")</f>
        <v>669134</v>
      </c>
      <c r="C299" s="11" t="s">
        <v>163</v>
      </c>
      <c r="D299" s="2" t="s">
        <v>163</v>
      </c>
      <c r="E299" s="2" t="s">
        <v>163</v>
      </c>
      <c r="F299" s="10" t="s">
        <v>2222</v>
      </c>
      <c r="G299" s="10">
        <v>4</v>
      </c>
      <c r="H299" s="10" t="str">
        <f>_xlfn.XLOOKUP($E299,'games played'!$A:$A,'games played'!K:K,"xxx")</f>
        <v>C</v>
      </c>
      <c r="I299" s="10" t="b">
        <f>_xlfn.XLOOKUP($E299,'games played'!$A:$A,'games played'!L:L,"xxx")</f>
        <v>0</v>
      </c>
    </row>
    <row r="300" spans="1:9" x14ac:dyDescent="0.2">
      <c r="A300" s="1">
        <v>300</v>
      </c>
      <c r="B300" s="1">
        <f>_xlfn.XLOOKUP($C300,mlb_ids!E:E,mlb_ids!A:A,"xxx")</f>
        <v>663494</v>
      </c>
      <c r="C300" s="11" t="s">
        <v>397</v>
      </c>
      <c r="D300" s="2" t="s">
        <v>397</v>
      </c>
      <c r="E300" s="2" t="s">
        <v>397</v>
      </c>
      <c r="F300" s="10" t="s">
        <v>2199</v>
      </c>
      <c r="G300" s="10">
        <v>4</v>
      </c>
      <c r="H300" s="10" t="str">
        <f>_xlfn.XLOOKUP($E300,'games played'!$A:$A,'games played'!K:K,"xxx")</f>
        <v>LF</v>
      </c>
      <c r="I300" s="10" t="b">
        <f>_xlfn.XLOOKUP($E300,'games played'!$A:$A,'games played'!L:L,"xxx")</f>
        <v>0</v>
      </c>
    </row>
    <row r="301" spans="1:9" x14ac:dyDescent="0.2">
      <c r="A301" s="1">
        <v>301</v>
      </c>
      <c r="B301" s="1">
        <f>_xlfn.XLOOKUP($C301,mlb_ids!E:E,mlb_ids!A:A,"xxx")</f>
        <v>676369</v>
      </c>
      <c r="C301" s="11" t="s">
        <v>164</v>
      </c>
      <c r="D301" s="2" t="s">
        <v>164</v>
      </c>
      <c r="E301" s="2" t="s">
        <v>683</v>
      </c>
      <c r="F301" s="10" t="s">
        <v>2199</v>
      </c>
      <c r="G301" s="10">
        <v>4</v>
      </c>
      <c r="H301" s="10" t="str">
        <f>_xlfn.XLOOKUP($E301,'games played'!$A:$A,'games played'!K:K,"xxx")</f>
        <v>LF</v>
      </c>
      <c r="I301" s="10" t="b">
        <f>_xlfn.XLOOKUP($E301,'games played'!$A:$A,'games played'!L:L,"xxx")</f>
        <v>0</v>
      </c>
    </row>
    <row r="302" spans="1:9" x14ac:dyDescent="0.2">
      <c r="A302" s="1">
        <v>302</v>
      </c>
      <c r="B302" s="1">
        <f>_xlfn.XLOOKUP($C302,mlb_ids!E:E,mlb_ids!A:A,"xxx")</f>
        <v>682674</v>
      </c>
      <c r="C302" s="11" t="s">
        <v>531</v>
      </c>
      <c r="D302" s="2" t="s">
        <v>165</v>
      </c>
      <c r="E302" s="2" t="s">
        <v>531</v>
      </c>
      <c r="F302" s="10" t="s">
        <v>2221</v>
      </c>
      <c r="G302" s="10">
        <v>4</v>
      </c>
      <c r="H302" s="10" t="str">
        <f>_xlfn.XLOOKUP($E302,'games played'!$A:$A,'games played'!K:K,"xxx")</f>
        <v>RF</v>
      </c>
      <c r="I302" s="10" t="b">
        <f>_xlfn.XLOOKUP($E302,'games played'!$A:$A,'games played'!L:L,"xxx")</f>
        <v>0</v>
      </c>
    </row>
    <row r="303" spans="1:9" x14ac:dyDescent="0.2">
      <c r="A303" s="1">
        <v>303</v>
      </c>
      <c r="B303" s="1">
        <f>_xlfn.XLOOKUP($C303,mlb_ids!E:E,mlb_ids!A:A,"xxx")</f>
        <v>687859</v>
      </c>
      <c r="C303" s="11" t="s">
        <v>398</v>
      </c>
      <c r="D303" s="2" t="s">
        <v>398</v>
      </c>
      <c r="E303" s="2" t="s">
        <v>398</v>
      </c>
      <c r="F303" s="10" t="s">
        <v>2214</v>
      </c>
      <c r="G303" s="10">
        <v>3</v>
      </c>
      <c r="H303" s="10" t="str">
        <f>_xlfn.XLOOKUP($E303,'games played'!$A:$A,'games played'!K:K,"xxx")</f>
        <v>RF</v>
      </c>
      <c r="I303" s="10" t="b">
        <f>_xlfn.XLOOKUP($E303,'games played'!$A:$A,'games played'!L:L,"xxx")</f>
        <v>0</v>
      </c>
    </row>
    <row r="304" spans="1:9" x14ac:dyDescent="0.2">
      <c r="A304" s="1">
        <v>304</v>
      </c>
      <c r="B304" s="1">
        <f>_xlfn.XLOOKUP($C304,mlb_ids!E:E,mlb_ids!A:A,"xxx")</f>
        <v>672580</v>
      </c>
      <c r="C304" s="11" t="s">
        <v>166</v>
      </c>
      <c r="D304" s="2" t="s">
        <v>166</v>
      </c>
      <c r="E304" s="2" t="s">
        <v>166</v>
      </c>
      <c r="F304" s="10" t="s">
        <v>2209</v>
      </c>
      <c r="G304" s="10">
        <v>3</v>
      </c>
      <c r="H304" s="10" t="str">
        <f>_xlfn.XLOOKUP($E304,'games played'!$A:$A,'games played'!K:K,"xxx")</f>
        <v>3B</v>
      </c>
      <c r="I304" s="10" t="b">
        <f>_xlfn.XLOOKUP($E304,'games played'!$A:$A,'games played'!L:L,"xxx")</f>
        <v>0</v>
      </c>
    </row>
    <row r="305" spans="1:9" x14ac:dyDescent="0.2">
      <c r="A305" s="1">
        <v>305</v>
      </c>
      <c r="B305" s="1">
        <f>_xlfn.XLOOKUP($C305,mlb_ids!E:E,mlb_ids!A:A,"xxx")</f>
        <v>643446</v>
      </c>
      <c r="C305" s="11" t="s">
        <v>399</v>
      </c>
      <c r="D305" s="2" t="s">
        <v>399</v>
      </c>
      <c r="E305" s="2" t="s">
        <v>399</v>
      </c>
      <c r="F305" s="10" t="s">
        <v>2200</v>
      </c>
      <c r="G305" s="10">
        <v>3</v>
      </c>
      <c r="H305" s="10" t="str">
        <f>_xlfn.XLOOKUP($E305,'games played'!$A:$A,'games played'!K:K,"xxx")</f>
        <v>2B</v>
      </c>
      <c r="I305" s="10" t="b">
        <f>_xlfn.XLOOKUP($E305,'games played'!$A:$A,'games played'!L:L,"xxx")</f>
        <v>0</v>
      </c>
    </row>
    <row r="306" spans="1:9" x14ac:dyDescent="0.2">
      <c r="A306" s="1">
        <v>306</v>
      </c>
      <c r="B306" s="1">
        <f>_xlfn.XLOOKUP($C306,mlb_ids!E:E,mlb_ids!A:A,"xxx")</f>
        <v>671289</v>
      </c>
      <c r="C306" s="11" t="s">
        <v>167</v>
      </c>
      <c r="D306" s="2" t="s">
        <v>167</v>
      </c>
      <c r="E306" s="2" t="s">
        <v>167</v>
      </c>
      <c r="F306" s="10" t="s">
        <v>2214</v>
      </c>
      <c r="G306" s="10">
        <v>3</v>
      </c>
      <c r="H306" s="10" t="str">
        <f>_xlfn.XLOOKUP($E306,'games played'!$A:$A,'games played'!K:K,"xxx")</f>
        <v>RF</v>
      </c>
      <c r="I306" s="10" t="b">
        <f>_xlfn.XLOOKUP($E306,'games played'!$A:$A,'games played'!L:L,"xxx")</f>
        <v>0</v>
      </c>
    </row>
    <row r="307" spans="1:9" x14ac:dyDescent="0.2">
      <c r="A307" s="1">
        <v>307</v>
      </c>
      <c r="B307" s="1">
        <f>_xlfn.XLOOKUP($C307,mlb_ids!E:E,mlb_ids!A:A,"xxx")</f>
        <v>666397</v>
      </c>
      <c r="C307" s="11" t="s">
        <v>400</v>
      </c>
      <c r="D307" s="2" t="s">
        <v>400</v>
      </c>
      <c r="E307" s="2" t="s">
        <v>400</v>
      </c>
      <c r="F307" s="10" t="s">
        <v>2214</v>
      </c>
      <c r="G307" s="10">
        <v>3</v>
      </c>
      <c r="H307" s="10" t="str">
        <f>_xlfn.XLOOKUP($E307,'games played'!$A:$A,'games played'!K:K,"xxx")</f>
        <v>2B</v>
      </c>
      <c r="I307" s="10" t="b">
        <f>_xlfn.XLOOKUP($E307,'games played'!$A:$A,'games played'!L:L,"xxx")</f>
        <v>0</v>
      </c>
    </row>
    <row r="308" spans="1:9" x14ac:dyDescent="0.2">
      <c r="A308" s="1">
        <v>308</v>
      </c>
      <c r="B308" s="1">
        <f>_xlfn.XLOOKUP($C308,mlb_ids!E:E,mlb_ids!A:A,"xxx")</f>
        <v>691594</v>
      </c>
      <c r="C308" s="11" t="s">
        <v>168</v>
      </c>
      <c r="D308" s="2" t="s">
        <v>168</v>
      </c>
      <c r="E308" s="2" t="s">
        <v>168</v>
      </c>
      <c r="F308" s="10" t="s">
        <v>2211</v>
      </c>
      <c r="G308" s="10">
        <v>3</v>
      </c>
      <c r="H308" s="10" t="str">
        <f>_xlfn.XLOOKUP($E308,'games played'!$A:$A,'games played'!K:K,"xxx")</f>
        <v>3B</v>
      </c>
      <c r="I308" s="10" t="b">
        <f>_xlfn.XLOOKUP($E308,'games played'!$A:$A,'games played'!L:L,"xxx")</f>
        <v>0</v>
      </c>
    </row>
    <row r="309" spans="1:9" x14ac:dyDescent="0.2">
      <c r="A309" s="1">
        <v>309</v>
      </c>
      <c r="B309" s="1">
        <f>_xlfn.XLOOKUP($C309,mlb_ids!E:E,mlb_ids!A:A,"xxx")</f>
        <v>687401</v>
      </c>
      <c r="C309" s="11" t="s">
        <v>169</v>
      </c>
      <c r="D309" s="2" t="s">
        <v>169</v>
      </c>
      <c r="E309" s="2" t="s">
        <v>169</v>
      </c>
      <c r="F309" s="10" t="s">
        <v>2204</v>
      </c>
      <c r="G309" s="10">
        <v>3</v>
      </c>
      <c r="H309" s="10" t="str">
        <f>_xlfn.XLOOKUP($E309,'games played'!$A:$A,'games played'!K:K,"xxx")</f>
        <v>SS</v>
      </c>
      <c r="I309" s="10" t="b">
        <f>_xlfn.XLOOKUP($E309,'games played'!$A:$A,'games played'!L:L,"xxx")</f>
        <v>0</v>
      </c>
    </row>
    <row r="310" spans="1:9" x14ac:dyDescent="0.2">
      <c r="A310" s="1">
        <v>310</v>
      </c>
      <c r="B310" s="1">
        <f>_xlfn.XLOOKUP($C310,mlb_ids!E:E,mlb_ids!A:A,"xxx")</f>
        <v>666152</v>
      </c>
      <c r="C310" s="11" t="s">
        <v>401</v>
      </c>
      <c r="D310" s="2" t="s">
        <v>401</v>
      </c>
      <c r="E310" s="2" t="s">
        <v>401</v>
      </c>
      <c r="F310" s="10" t="s">
        <v>2204</v>
      </c>
      <c r="G310" s="10">
        <v>3</v>
      </c>
      <c r="H310" s="10" t="str">
        <f>_xlfn.XLOOKUP($E310,'games played'!$A:$A,'games played'!K:K,"xxx")</f>
        <v>3B</v>
      </c>
      <c r="I310" s="10" t="b">
        <f>_xlfn.XLOOKUP($E310,'games played'!$A:$A,'games played'!L:L,"xxx")</f>
        <v>0</v>
      </c>
    </row>
    <row r="311" spans="1:9" x14ac:dyDescent="0.2">
      <c r="A311" s="1">
        <v>311</v>
      </c>
      <c r="B311" s="1">
        <f>_xlfn.XLOOKUP($C311,mlb_ids!E:E,mlb_ids!A:A,"xxx")</f>
        <v>691785</v>
      </c>
      <c r="C311" s="11" t="s">
        <v>402</v>
      </c>
      <c r="D311" s="2" t="s">
        <v>402</v>
      </c>
      <c r="E311" s="2" t="s">
        <v>402</v>
      </c>
      <c r="F311" s="10" t="s">
        <v>2216</v>
      </c>
      <c r="G311" s="10">
        <v>3</v>
      </c>
      <c r="H311" s="10" t="str">
        <f>_xlfn.XLOOKUP($E311,'games played'!$A:$A,'games played'!K:K,"xxx")</f>
        <v>2B</v>
      </c>
      <c r="I311" s="10" t="b">
        <f>_xlfn.XLOOKUP($E311,'games played'!$A:$A,'games played'!L:L,"xxx")</f>
        <v>0</v>
      </c>
    </row>
    <row r="312" spans="1:9" x14ac:dyDescent="0.2">
      <c r="A312" s="1">
        <v>312</v>
      </c>
      <c r="B312" s="1">
        <f>_xlfn.XLOOKUP($C312,mlb_ids!E:E,mlb_ids!A:A,"xxx")</f>
        <v>680700</v>
      </c>
      <c r="C312" s="11" t="s">
        <v>403</v>
      </c>
      <c r="D312" s="2" t="s">
        <v>403</v>
      </c>
      <c r="E312" s="2" t="s">
        <v>403</v>
      </c>
      <c r="F312" s="10" t="s">
        <v>2205</v>
      </c>
      <c r="G312" s="10">
        <v>3</v>
      </c>
      <c r="H312" s="10" t="str">
        <f>_xlfn.XLOOKUP($E312,'games played'!$A:$A,'games played'!K:K,"xxx")</f>
        <v>2B</v>
      </c>
      <c r="I312" s="10" t="b">
        <f>_xlfn.XLOOKUP($E312,'games played'!$A:$A,'games played'!L:L,"xxx")</f>
        <v>0</v>
      </c>
    </row>
    <row r="313" spans="1:9" x14ac:dyDescent="0.2">
      <c r="A313" s="1">
        <v>313</v>
      </c>
      <c r="B313" s="1">
        <f>_xlfn.XLOOKUP($C313,mlb_ids!E:E,mlb_ids!A:A,"xxx")</f>
        <v>690976</v>
      </c>
      <c r="C313" s="11" t="s">
        <v>488</v>
      </c>
      <c r="D313" s="2" t="s">
        <v>488</v>
      </c>
      <c r="E313" s="2" t="s">
        <v>488</v>
      </c>
      <c r="F313" s="10" t="s">
        <v>2201</v>
      </c>
      <c r="G313" s="10">
        <v>3</v>
      </c>
      <c r="H313" s="10" t="str">
        <f>_xlfn.XLOOKUP($E313,'games played'!$A:$A,'games played'!K:K,"xxx")</f>
        <v>2B</v>
      </c>
      <c r="I313" s="10" t="b">
        <f>_xlfn.XLOOKUP($E313,'games played'!$A:$A,'games played'!L:L,"xxx")</f>
        <v>0</v>
      </c>
    </row>
    <row r="314" spans="1:9" x14ac:dyDescent="0.2">
      <c r="A314" s="1">
        <v>314</v>
      </c>
      <c r="B314" s="1">
        <f>_xlfn.XLOOKUP($C314,mlb_ids!E:E,mlb_ids!A:A,"xxx")</f>
        <v>670770</v>
      </c>
      <c r="C314" s="11" t="s">
        <v>404</v>
      </c>
      <c r="D314" s="2" t="s">
        <v>404</v>
      </c>
      <c r="E314" s="2" t="s">
        <v>404</v>
      </c>
      <c r="F314" s="10" t="s">
        <v>2208</v>
      </c>
      <c r="G314" s="10">
        <v>3</v>
      </c>
      <c r="H314" s="10" t="str">
        <f>_xlfn.XLOOKUP($E314,'games played'!$A:$A,'games played'!K:K,"xxx")</f>
        <v>CF</v>
      </c>
      <c r="I314" s="10" t="b">
        <f>_xlfn.XLOOKUP($E314,'games played'!$A:$A,'games played'!L:L,"xxx")</f>
        <v>0</v>
      </c>
    </row>
    <row r="315" spans="1:9" x14ac:dyDescent="0.2">
      <c r="A315" s="1">
        <v>315</v>
      </c>
      <c r="B315" s="1">
        <f>_xlfn.XLOOKUP($C315,mlb_ids!E:E,mlb_ids!A:A,"xxx")</f>
        <v>678391</v>
      </c>
      <c r="C315" s="11" t="s">
        <v>405</v>
      </c>
      <c r="D315" s="2" t="s">
        <v>405</v>
      </c>
      <c r="E315" s="2" t="s">
        <v>405</v>
      </c>
      <c r="F315" s="10" t="s">
        <v>2195</v>
      </c>
      <c r="G315" s="10">
        <v>3</v>
      </c>
      <c r="H315" s="10" t="str">
        <f>_xlfn.XLOOKUP($E315,'games played'!$A:$A,'games played'!K:K,"xxx")</f>
        <v>3B</v>
      </c>
      <c r="I315" s="10" t="b">
        <f>_xlfn.XLOOKUP($E315,'games played'!$A:$A,'games played'!L:L,"xxx")</f>
        <v>0</v>
      </c>
    </row>
    <row r="316" spans="1:9" x14ac:dyDescent="0.2">
      <c r="A316" s="1">
        <v>316</v>
      </c>
      <c r="B316" s="1">
        <f>_xlfn.XLOOKUP($C316,mlb_ids!E:E,mlb_ids!A:A,"xxx")</f>
        <v>703607</v>
      </c>
      <c r="C316" s="11" t="s">
        <v>170</v>
      </c>
      <c r="D316" s="2" t="s">
        <v>170</v>
      </c>
      <c r="E316" s="2" t="s">
        <v>170</v>
      </c>
      <c r="F316" s="10" t="s">
        <v>2200</v>
      </c>
      <c r="G316" s="10">
        <v>3</v>
      </c>
      <c r="H316" s="10" t="str">
        <f>_xlfn.XLOOKUP($E316,'games played'!$A:$A,'games played'!K:K,"xxx")</f>
        <v>CF</v>
      </c>
      <c r="I316" s="10" t="b">
        <f>_xlfn.XLOOKUP($E316,'games played'!$A:$A,'games played'!L:L,"xxx")</f>
        <v>0</v>
      </c>
    </row>
    <row r="317" spans="1:9" x14ac:dyDescent="0.2">
      <c r="A317" s="1">
        <v>317</v>
      </c>
      <c r="B317" s="1">
        <f>_xlfn.XLOOKUP($C317,mlb_ids!E:E,mlb_ids!A:A,"xxx")</f>
        <v>807799</v>
      </c>
      <c r="C317" s="11" t="s">
        <v>406</v>
      </c>
      <c r="D317" s="2" t="s">
        <v>406</v>
      </c>
      <c r="E317" s="2" t="s">
        <v>406</v>
      </c>
      <c r="F317" s="10" t="s">
        <v>2216</v>
      </c>
      <c r="G317" s="10">
        <v>3</v>
      </c>
      <c r="H317" s="10" t="str">
        <f>_xlfn.XLOOKUP($E317,'games played'!$A:$A,'games played'!K:K,"xxx")</f>
        <v>DH</v>
      </c>
      <c r="I317" s="10" t="b">
        <f>_xlfn.XLOOKUP($E317,'games played'!$A:$A,'games played'!L:L,"xxx")</f>
        <v>0</v>
      </c>
    </row>
    <row r="318" spans="1:9" x14ac:dyDescent="0.2">
      <c r="A318" s="1">
        <v>318</v>
      </c>
      <c r="B318" s="1">
        <f>_xlfn.XLOOKUP($C318,mlb_ids!E:E,mlb_ids!A:A,"xxx")</f>
        <v>672275</v>
      </c>
      <c r="C318" s="11" t="s">
        <v>489</v>
      </c>
      <c r="D318" s="2" t="s">
        <v>489</v>
      </c>
      <c r="E318" s="2" t="s">
        <v>489</v>
      </c>
      <c r="F318" s="10" t="s">
        <v>2221</v>
      </c>
      <c r="G318" s="10">
        <v>3</v>
      </c>
      <c r="H318" s="10" t="str">
        <f>_xlfn.XLOOKUP($E318,'games played'!$A:$A,'games played'!K:K,"xxx")</f>
        <v>C</v>
      </c>
      <c r="I318" s="10" t="b">
        <f>_xlfn.XLOOKUP($E318,'games played'!$A:$A,'games played'!L:L,"xxx")</f>
        <v>0</v>
      </c>
    </row>
    <row r="319" spans="1:9" x14ac:dyDescent="0.2">
      <c r="A319" s="1">
        <v>319</v>
      </c>
      <c r="B319" s="1">
        <f>_xlfn.XLOOKUP($C319,mlb_ids!E:E,mlb_ids!A:A,"xxx")</f>
        <v>664728</v>
      </c>
      <c r="C319" s="11" t="s">
        <v>407</v>
      </c>
      <c r="D319" s="2" t="s">
        <v>407</v>
      </c>
      <c r="E319" s="2" t="s">
        <v>407</v>
      </c>
      <c r="F319" s="10" t="s">
        <v>2209</v>
      </c>
      <c r="G319" s="10">
        <v>3</v>
      </c>
      <c r="H319" s="10" t="str">
        <f>_xlfn.XLOOKUP($E319,'games played'!$A:$A,'games played'!K:K,"xxx")</f>
        <v>CF</v>
      </c>
      <c r="I319" s="10" t="b">
        <f>_xlfn.XLOOKUP($E319,'games played'!$A:$A,'games played'!L:L,"xxx")</f>
        <v>0</v>
      </c>
    </row>
    <row r="320" spans="1:9" x14ac:dyDescent="0.2">
      <c r="A320" s="1">
        <v>320</v>
      </c>
      <c r="B320" s="1">
        <f>_xlfn.XLOOKUP($C320,mlb_ids!E:E,mlb_ids!A:A,"xxx")</f>
        <v>699912</v>
      </c>
      <c r="C320" s="11" t="s">
        <v>566</v>
      </c>
      <c r="D320" s="2" t="s">
        <v>171</v>
      </c>
      <c r="E320" s="2" t="s">
        <v>566</v>
      </c>
      <c r="F320" s="10" t="s">
        <v>2215</v>
      </c>
      <c r="G320" s="10">
        <v>3</v>
      </c>
      <c r="H320" s="10" t="str">
        <f>_xlfn.XLOOKUP($E320,'games played'!$A:$A,'games played'!K:K,"xxx")</f>
        <v>DH</v>
      </c>
      <c r="I320" s="10" t="b">
        <f>_xlfn.XLOOKUP($E320,'games played'!$A:$A,'games played'!L:L,"xxx")</f>
        <v>0</v>
      </c>
    </row>
    <row r="321" spans="1:9" x14ac:dyDescent="0.2">
      <c r="A321" s="1">
        <v>321</v>
      </c>
      <c r="B321" s="1">
        <f>_xlfn.XLOOKUP($C321,mlb_ids!E:E,mlb_ids!A:A,"xxx")</f>
        <v>596115</v>
      </c>
      <c r="C321" s="11" t="s">
        <v>172</v>
      </c>
      <c r="D321" s="2" t="s">
        <v>172</v>
      </c>
      <c r="E321" s="2" t="s">
        <v>172</v>
      </c>
      <c r="F321" s="10" t="s">
        <v>2216</v>
      </c>
      <c r="G321" s="10">
        <v>3</v>
      </c>
      <c r="H321" s="10" t="str">
        <f>_xlfn.XLOOKUP($E321,'games played'!$A:$A,'games played'!K:K,"xxx")</f>
        <v>SS</v>
      </c>
      <c r="I321" s="10" t="b">
        <f>_xlfn.XLOOKUP($E321,'games played'!$A:$A,'games played'!L:L,"xxx")</f>
        <v>0</v>
      </c>
    </row>
    <row r="322" spans="1:9" x14ac:dyDescent="0.2">
      <c r="A322" s="1">
        <v>322</v>
      </c>
      <c r="B322" s="1">
        <f>_xlfn.XLOOKUP($C322,mlb_ids!E:E,mlb_ids!A:A,"xxx")</f>
        <v>664702</v>
      </c>
      <c r="C322" s="11" t="s">
        <v>173</v>
      </c>
      <c r="D322" s="2" t="s">
        <v>173</v>
      </c>
      <c r="E322" s="2" t="s">
        <v>173</v>
      </c>
      <c r="F322" s="10" t="s">
        <v>2220</v>
      </c>
      <c r="G322" s="10">
        <v>3</v>
      </c>
      <c r="H322" s="10" t="str">
        <f>_xlfn.XLOOKUP($E322,'games played'!$A:$A,'games played'!K:K,"xxx")</f>
        <v>LF</v>
      </c>
      <c r="I322" s="10" t="b">
        <f>_xlfn.XLOOKUP($E322,'games played'!$A:$A,'games played'!L:L,"xxx")</f>
        <v>0</v>
      </c>
    </row>
    <row r="323" spans="1:9" x14ac:dyDescent="0.2">
      <c r="A323" s="1">
        <v>323</v>
      </c>
      <c r="B323" s="1">
        <f>_xlfn.XLOOKUP($C323,mlb_ids!E:E,mlb_ids!A:A,"xxx")</f>
        <v>630105</v>
      </c>
      <c r="C323" s="11" t="s">
        <v>408</v>
      </c>
      <c r="D323" s="2" t="s">
        <v>408</v>
      </c>
      <c r="E323" s="2" t="s">
        <v>408</v>
      </c>
      <c r="F323" s="10" t="s">
        <v>2222</v>
      </c>
      <c r="G323" s="10">
        <v>3</v>
      </c>
      <c r="H323" s="10" t="str">
        <f>_xlfn.XLOOKUP($E323,'games played'!$A:$A,'games played'!K:K,"xxx")</f>
        <v>2B</v>
      </c>
      <c r="I323" s="10" t="b">
        <f>_xlfn.XLOOKUP($E323,'games played'!$A:$A,'games played'!L:L,"xxx")</f>
        <v>0</v>
      </c>
    </row>
    <row r="324" spans="1:9" x14ac:dyDescent="0.2">
      <c r="A324" s="1">
        <v>324</v>
      </c>
      <c r="B324" s="1">
        <f>_xlfn.XLOOKUP($C324,mlb_ids!E:E,mlb_ids!A:A,"xxx")</f>
        <v>666023</v>
      </c>
      <c r="C324" s="11" t="s">
        <v>174</v>
      </c>
      <c r="D324" s="2" t="s">
        <v>174</v>
      </c>
      <c r="E324" s="2" t="s">
        <v>174</v>
      </c>
      <c r="F324" s="10" t="s">
        <v>2222</v>
      </c>
      <c r="G324" s="10">
        <v>3</v>
      </c>
      <c r="H324" s="10" t="str">
        <f>_xlfn.XLOOKUP($E324,'games played'!$A:$A,'games played'!K:K,"xxx")</f>
        <v>C</v>
      </c>
      <c r="I324" s="10" t="b">
        <f>_xlfn.XLOOKUP($E324,'games played'!$A:$A,'games played'!L:L,"xxx")</f>
        <v>0</v>
      </c>
    </row>
    <row r="325" spans="1:9" x14ac:dyDescent="0.2">
      <c r="A325" s="1">
        <v>325</v>
      </c>
      <c r="B325" s="1">
        <f>_xlfn.XLOOKUP($C325,mlb_ids!E:E,mlb_ids!A:A,"xxx")</f>
        <v>665804</v>
      </c>
      <c r="C325" s="11" t="s">
        <v>175</v>
      </c>
      <c r="D325" s="2" t="s">
        <v>175</v>
      </c>
      <c r="E325" s="2" t="s">
        <v>175</v>
      </c>
      <c r="F325" s="10" t="s">
        <v>2197</v>
      </c>
      <c r="G325" s="10">
        <v>3</v>
      </c>
      <c r="H325" s="10" t="str">
        <f>_xlfn.XLOOKUP($E325,'games played'!$A:$A,'games played'!K:K,"xxx")</f>
        <v>C</v>
      </c>
      <c r="I325" s="10" t="b">
        <f>_xlfn.XLOOKUP($E325,'games played'!$A:$A,'games played'!L:L,"xxx")</f>
        <v>0</v>
      </c>
    </row>
    <row r="326" spans="1:9" x14ac:dyDescent="0.2">
      <c r="A326" s="1">
        <v>326</v>
      </c>
      <c r="B326" s="1">
        <f>_xlfn.XLOOKUP($C326,mlb_ids!E:E,mlb_ids!A:A,"xxx")</f>
        <v>500743</v>
      </c>
      <c r="C326" s="11" t="s">
        <v>176</v>
      </c>
      <c r="D326" s="2" t="s">
        <v>176</v>
      </c>
      <c r="E326" s="2" t="s">
        <v>176</v>
      </c>
      <c r="F326" s="10" t="s">
        <v>2201</v>
      </c>
      <c r="G326" s="10">
        <v>3</v>
      </c>
      <c r="H326" s="10" t="str">
        <f>_xlfn.XLOOKUP($E326,'games played'!$A:$A,'games played'!K:K,"xxx")</f>
        <v>2B</v>
      </c>
      <c r="I326" s="10" t="b">
        <f>_xlfn.XLOOKUP($E326,'games played'!$A:$A,'games played'!L:L,"xxx")</f>
        <v>0</v>
      </c>
    </row>
    <row r="327" spans="1:9" x14ac:dyDescent="0.2">
      <c r="A327" s="1">
        <v>327</v>
      </c>
      <c r="B327" s="1">
        <f>_xlfn.XLOOKUP($C327,mlb_ids!E:E,mlb_ids!A:A,"xxx")</f>
        <v>676694</v>
      </c>
      <c r="C327" s="11" t="s">
        <v>177</v>
      </c>
      <c r="D327" s="2" t="s">
        <v>177</v>
      </c>
      <c r="E327" s="2" t="s">
        <v>177</v>
      </c>
      <c r="F327" s="10" t="s">
        <v>2196</v>
      </c>
      <c r="G327" s="10">
        <v>3</v>
      </c>
      <c r="H327" s="10" t="str">
        <f>_xlfn.XLOOKUP($E327,'games played'!$A:$A,'games played'!K:K,"xxx")</f>
        <v>CF</v>
      </c>
      <c r="I327" s="10" t="b">
        <f>_xlfn.XLOOKUP($E327,'games played'!$A:$A,'games played'!L:L,"xxx")</f>
        <v>0</v>
      </c>
    </row>
    <row r="328" spans="1:9" x14ac:dyDescent="0.2">
      <c r="A328" s="1">
        <v>328</v>
      </c>
      <c r="B328" s="1">
        <f>_xlfn.XLOOKUP($C328,mlb_ids!E:E,mlb_ids!A:A,"xxx")</f>
        <v>595978</v>
      </c>
      <c r="C328" s="11" t="s">
        <v>178</v>
      </c>
      <c r="D328" s="2" t="s">
        <v>178</v>
      </c>
      <c r="E328" s="2" t="s">
        <v>178</v>
      </c>
      <c r="F328" s="10" t="s">
        <v>2224</v>
      </c>
      <c r="G328" s="10">
        <v>3</v>
      </c>
      <c r="H328" s="10" t="str">
        <f>_xlfn.XLOOKUP($E328,'games played'!$A:$A,'games played'!K:K,"xxx")</f>
        <v>C</v>
      </c>
      <c r="I328" s="10" t="b">
        <f>_xlfn.XLOOKUP($E328,'games played'!$A:$A,'games played'!L:L,"xxx")</f>
        <v>0</v>
      </c>
    </row>
    <row r="329" spans="1:9" x14ac:dyDescent="0.2">
      <c r="A329" s="1">
        <v>329</v>
      </c>
      <c r="B329" s="1">
        <f>_xlfn.XLOOKUP($C329,mlb_ids!E:E,mlb_ids!A:A,"xxx")</f>
        <v>643376</v>
      </c>
      <c r="C329" s="11" t="s">
        <v>179</v>
      </c>
      <c r="D329" s="2" t="s">
        <v>179</v>
      </c>
      <c r="E329" s="2" t="s">
        <v>179</v>
      </c>
      <c r="F329" s="10" t="s">
        <v>2223</v>
      </c>
      <c r="G329" s="10">
        <v>3</v>
      </c>
      <c r="H329" s="10" t="str">
        <f>_xlfn.XLOOKUP($E329,'games played'!$A:$A,'games played'!K:K,"xxx")</f>
        <v>C</v>
      </c>
      <c r="I329" s="10" t="b">
        <f>_xlfn.XLOOKUP($E329,'games played'!$A:$A,'games played'!L:L,"xxx")</f>
        <v>0</v>
      </c>
    </row>
    <row r="330" spans="1:9" x14ac:dyDescent="0.2">
      <c r="A330" s="1">
        <v>330</v>
      </c>
      <c r="B330" s="1">
        <f>_xlfn.XLOOKUP($C330,mlb_ids!E:E,mlb_ids!A:A,"xxx")</f>
        <v>621043</v>
      </c>
      <c r="C330" s="11" t="s">
        <v>180</v>
      </c>
      <c r="D330" s="2" t="s">
        <v>180</v>
      </c>
      <c r="E330" s="2" t="s">
        <v>180</v>
      </c>
      <c r="F330" s="10" t="s">
        <v>2196</v>
      </c>
      <c r="G330" s="10">
        <v>3</v>
      </c>
      <c r="H330" s="10" t="str">
        <f>_xlfn.XLOOKUP($E330,'games played'!$A:$A,'games played'!K:K,"xxx")</f>
        <v>SS</v>
      </c>
      <c r="I330" s="10" t="b">
        <f>_xlfn.XLOOKUP($E330,'games played'!$A:$A,'games played'!L:L,"xxx")</f>
        <v>0</v>
      </c>
    </row>
    <row r="331" spans="1:9" x14ac:dyDescent="0.2">
      <c r="A331" s="1">
        <v>331</v>
      </c>
      <c r="B331" s="1">
        <f>_xlfn.XLOOKUP($C331,mlb_ids!E:E,mlb_ids!A:A,"xxx")</f>
        <v>667472</v>
      </c>
      <c r="C331" s="11" t="s">
        <v>181</v>
      </c>
      <c r="D331" s="2" t="s">
        <v>181</v>
      </c>
      <c r="E331" s="2" t="s">
        <v>181</v>
      </c>
      <c r="F331" s="10" t="s">
        <v>2208</v>
      </c>
      <c r="G331" s="10">
        <v>3</v>
      </c>
      <c r="H331" s="10" t="str">
        <f>_xlfn.XLOOKUP($E331,'games played'!$A:$A,'games played'!K:K,"xxx")</f>
        <v>CF</v>
      </c>
      <c r="I331" s="10" t="b">
        <f>_xlfn.XLOOKUP($E331,'games played'!$A:$A,'games played'!L:L,"xxx")</f>
        <v>0</v>
      </c>
    </row>
    <row r="332" spans="1:9" x14ac:dyDescent="0.2">
      <c r="A332" s="1">
        <v>332</v>
      </c>
      <c r="B332" s="1">
        <f>_xlfn.XLOOKUP($C332,mlb_ids!E:E,mlb_ids!A:A,"xxx")</f>
        <v>681546</v>
      </c>
      <c r="C332" s="11" t="s">
        <v>409</v>
      </c>
      <c r="D332" s="2" t="s">
        <v>409</v>
      </c>
      <c r="E332" s="2" t="s">
        <v>409</v>
      </c>
      <c r="F332" s="10" t="s">
        <v>2218</v>
      </c>
      <c r="G332" s="10">
        <v>3</v>
      </c>
      <c r="H332" s="10" t="str">
        <f>_xlfn.XLOOKUP($E332,'games played'!$A:$A,'games played'!K:K,"xxx")</f>
        <v>CF</v>
      </c>
      <c r="I332" s="10" t="b">
        <f>_xlfn.XLOOKUP($E332,'games played'!$A:$A,'games played'!L:L,"xxx")</f>
        <v>0</v>
      </c>
    </row>
    <row r="333" spans="1:9" x14ac:dyDescent="0.2">
      <c r="A333" s="1">
        <v>333</v>
      </c>
      <c r="B333" s="1">
        <f>_xlfn.XLOOKUP($C333,mlb_ids!E:E,mlb_ids!A:A,"xxx")</f>
        <v>660162</v>
      </c>
      <c r="C333" s="11" t="s">
        <v>490</v>
      </c>
      <c r="D333" s="2" t="s">
        <v>490</v>
      </c>
      <c r="E333" s="2" t="s">
        <v>618</v>
      </c>
      <c r="F333" s="10" t="s">
        <v>2210</v>
      </c>
      <c r="G333" s="10">
        <v>3</v>
      </c>
      <c r="H333" s="10" t="str">
        <f>_xlfn.XLOOKUP($E333,'games played'!$A:$A,'games played'!K:K,"xxx")</f>
        <v>3B</v>
      </c>
      <c r="I333" s="10" t="b">
        <f>_xlfn.XLOOKUP($E333,'games played'!$A:$A,'games played'!L:L,"xxx")</f>
        <v>0</v>
      </c>
    </row>
    <row r="334" spans="1:9" x14ac:dyDescent="0.2">
      <c r="A334" s="1">
        <v>334</v>
      </c>
      <c r="B334" s="1">
        <f>_xlfn.XLOOKUP($C334,mlb_ids!E:E,mlb_ids!A:A,"xxx")</f>
        <v>666211</v>
      </c>
      <c r="C334" s="11" t="s">
        <v>410</v>
      </c>
      <c r="D334" s="2" t="s">
        <v>410</v>
      </c>
      <c r="E334" s="2" t="s">
        <v>410</v>
      </c>
      <c r="F334" s="10" t="s">
        <v>2196</v>
      </c>
      <c r="G334" s="10">
        <v>3</v>
      </c>
      <c r="H334" s="10" t="str">
        <f>_xlfn.XLOOKUP($E334,'games played'!$A:$A,'games played'!K:K,"xxx")</f>
        <v>CF</v>
      </c>
      <c r="I334" s="10" t="b">
        <f>_xlfn.XLOOKUP($E334,'games played'!$A:$A,'games played'!L:L,"xxx")</f>
        <v>0</v>
      </c>
    </row>
    <row r="335" spans="1:9" x14ac:dyDescent="0.2">
      <c r="A335" s="1">
        <v>335</v>
      </c>
      <c r="B335" s="1">
        <f>_xlfn.XLOOKUP($C335,mlb_ids!E:E,mlb_ids!A:A,"xxx")</f>
        <v>663457</v>
      </c>
      <c r="C335" s="11" t="s">
        <v>411</v>
      </c>
      <c r="D335" s="2" t="s">
        <v>411</v>
      </c>
      <c r="E335" s="2" t="s">
        <v>411</v>
      </c>
      <c r="F335" s="10" t="s">
        <v>2199</v>
      </c>
      <c r="G335" s="10">
        <v>3</v>
      </c>
      <c r="H335" s="10" t="str">
        <f>_xlfn.XLOOKUP($E335,'games played'!$A:$A,'games played'!K:K,"xxx")</f>
        <v>LF</v>
      </c>
      <c r="I335" s="10" t="b">
        <f>_xlfn.XLOOKUP($E335,'games played'!$A:$A,'games played'!L:L,"xxx")</f>
        <v>0</v>
      </c>
    </row>
    <row r="336" spans="1:9" x14ac:dyDescent="0.2">
      <c r="A336" s="1">
        <v>336</v>
      </c>
      <c r="B336" s="1">
        <f>_xlfn.XLOOKUP($C336,mlb_ids!E:E,mlb_ids!A:A,"xxx")</f>
        <v>608701</v>
      </c>
      <c r="C336" s="11" t="s">
        <v>182</v>
      </c>
      <c r="D336" s="2" t="s">
        <v>182</v>
      </c>
      <c r="E336" s="2" t="s">
        <v>182</v>
      </c>
      <c r="F336" s="10" t="s">
        <v>2213</v>
      </c>
      <c r="G336" s="10">
        <v>3</v>
      </c>
      <c r="H336" s="10" t="str">
        <f>_xlfn.XLOOKUP($E336,'games played'!$A:$A,'games played'!K:K,"xxx")</f>
        <v>DH</v>
      </c>
      <c r="I336" s="10" t="b">
        <f>_xlfn.XLOOKUP($E336,'games played'!$A:$A,'games played'!L:L,"xxx")</f>
        <v>0</v>
      </c>
    </row>
    <row r="337" spans="1:9" x14ac:dyDescent="0.2">
      <c r="A337" s="1">
        <v>337</v>
      </c>
      <c r="B337" s="1">
        <f>_xlfn.XLOOKUP($C337,mlb_ids!E:E,mlb_ids!A:A,"xxx")</f>
        <v>676914</v>
      </c>
      <c r="C337" s="11" t="s">
        <v>183</v>
      </c>
      <c r="D337" s="2" t="s">
        <v>183</v>
      </c>
      <c r="E337" s="2" t="s">
        <v>183</v>
      </c>
      <c r="F337" s="10" t="s">
        <v>2220</v>
      </c>
      <c r="G337" s="10">
        <v>3</v>
      </c>
      <c r="H337" s="10" t="str">
        <f>_xlfn.XLOOKUP($E337,'games played'!$A:$A,'games played'!K:K,"xxx")</f>
        <v>LF</v>
      </c>
      <c r="I337" s="10" t="b">
        <f>_xlfn.XLOOKUP($E337,'games played'!$A:$A,'games played'!L:L,"xxx")</f>
        <v>0</v>
      </c>
    </row>
    <row r="338" spans="1:9" x14ac:dyDescent="0.2">
      <c r="A338" s="1">
        <v>338</v>
      </c>
      <c r="B338" s="1">
        <f>_xlfn.XLOOKUP($C338,mlb_ids!E:E,mlb_ids!A:A,"xxx")</f>
        <v>695731</v>
      </c>
      <c r="C338" s="11" t="s">
        <v>491</v>
      </c>
      <c r="D338" s="2" t="s">
        <v>491</v>
      </c>
      <c r="E338" s="2" t="s">
        <v>491</v>
      </c>
      <c r="F338" s="10" t="s">
        <v>2206</v>
      </c>
      <c r="G338" s="10">
        <v>3</v>
      </c>
      <c r="H338" s="10" t="str">
        <f>_xlfn.XLOOKUP($E338,'games played'!$A:$A,'games played'!K:K,"xxx")</f>
        <v>RF</v>
      </c>
      <c r="I338" s="10" t="b">
        <f>_xlfn.XLOOKUP($E338,'games played'!$A:$A,'games played'!L:L,"xxx")</f>
        <v>0</v>
      </c>
    </row>
    <row r="339" spans="1:9" x14ac:dyDescent="0.2">
      <c r="A339" s="1">
        <v>339</v>
      </c>
      <c r="B339" s="1">
        <f>_xlfn.XLOOKUP($C339,mlb_ids!E:E,mlb_ids!A:A,"xxx")</f>
        <v>666181</v>
      </c>
      <c r="C339" s="11" t="s">
        <v>412</v>
      </c>
      <c r="D339" s="2" t="s">
        <v>412</v>
      </c>
      <c r="E339" s="2" t="s">
        <v>412</v>
      </c>
      <c r="F339" s="10" t="s">
        <v>2208</v>
      </c>
      <c r="G339" s="10">
        <v>3</v>
      </c>
      <c r="H339" s="10" t="str">
        <f>_xlfn.XLOOKUP($E339,'games played'!$A:$A,'games played'!K:K,"xxx")</f>
        <v>RF</v>
      </c>
      <c r="I339" s="10" t="b">
        <f>_xlfn.XLOOKUP($E339,'games played'!$A:$A,'games played'!L:L,"xxx")</f>
        <v>0</v>
      </c>
    </row>
    <row r="340" spans="1:9" x14ac:dyDescent="0.2">
      <c r="A340" s="1">
        <v>340</v>
      </c>
      <c r="B340" s="1">
        <f>_xlfn.XLOOKUP($C340,mlb_ids!E:E,mlb_ids!A:A,"xxx")</f>
        <v>680977</v>
      </c>
      <c r="C340" s="11" t="s">
        <v>413</v>
      </c>
      <c r="D340" s="2" t="s">
        <v>413</v>
      </c>
      <c r="E340" s="2" t="s">
        <v>413</v>
      </c>
      <c r="F340" s="10" t="s">
        <v>2213</v>
      </c>
      <c r="G340" s="10">
        <v>3</v>
      </c>
      <c r="H340" s="10" t="str">
        <f>_xlfn.XLOOKUP($E340,'games played'!$A:$A,'games played'!K:K,"xxx")</f>
        <v>3B</v>
      </c>
      <c r="I340" s="10" t="b">
        <f>_xlfn.XLOOKUP($E340,'games played'!$A:$A,'games played'!L:L,"xxx")</f>
        <v>0</v>
      </c>
    </row>
    <row r="341" spans="1:9" x14ac:dyDescent="0.2">
      <c r="A341" s="1">
        <v>341</v>
      </c>
      <c r="B341" s="1">
        <f>_xlfn.XLOOKUP($C341,mlb_ids!E:E,mlb_ids!A:A,"xxx")</f>
        <v>668670</v>
      </c>
      <c r="C341" s="11" t="s">
        <v>184</v>
      </c>
      <c r="D341" s="2" t="s">
        <v>184</v>
      </c>
      <c r="E341" s="2" t="s">
        <v>184</v>
      </c>
      <c r="F341" s="10" t="s">
        <v>2217</v>
      </c>
      <c r="G341" s="10">
        <v>3</v>
      </c>
      <c r="H341" s="10" t="str">
        <f>_xlfn.XLOOKUP($E341,'games played'!$A:$A,'games played'!K:K,"xxx")</f>
        <v>C</v>
      </c>
      <c r="I341" s="10" t="b">
        <f>_xlfn.XLOOKUP($E341,'games played'!$A:$A,'games played'!L:L,"xxx")</f>
        <v>0</v>
      </c>
    </row>
    <row r="342" spans="1:9" x14ac:dyDescent="0.2">
      <c r="A342" s="1">
        <v>342</v>
      </c>
      <c r="B342" s="1">
        <f>_xlfn.XLOOKUP($C342,mlb_ids!E:E,mlb_ids!A:A,"xxx")</f>
        <v>694374</v>
      </c>
      <c r="C342" s="11" t="s">
        <v>185</v>
      </c>
      <c r="D342" s="2" t="s">
        <v>185</v>
      </c>
      <c r="E342" s="2" t="s">
        <v>185</v>
      </c>
      <c r="F342" s="10" t="s">
        <v>2215</v>
      </c>
      <c r="G342" s="10">
        <v>3</v>
      </c>
      <c r="H342" s="10" t="str">
        <f>_xlfn.XLOOKUP($E342,'games played'!$A:$A,'games played'!K:K,"xxx")</f>
        <v>LF</v>
      </c>
      <c r="I342" s="10" t="b">
        <f>_xlfn.XLOOKUP($E342,'games played'!$A:$A,'games played'!L:L,"xxx")</f>
        <v>0</v>
      </c>
    </row>
    <row r="343" spans="1:9" x14ac:dyDescent="0.2">
      <c r="A343" s="1">
        <v>343</v>
      </c>
      <c r="B343" s="1">
        <f>_xlfn.XLOOKUP($C343,mlb_ids!E:E,mlb_ids!A:A,"xxx")</f>
        <v>622268</v>
      </c>
      <c r="C343" s="11" t="s">
        <v>414</v>
      </c>
      <c r="D343" s="2" t="s">
        <v>414</v>
      </c>
      <c r="E343" s="2" t="s">
        <v>686</v>
      </c>
      <c r="F343" s="10" t="s">
        <v>2210</v>
      </c>
      <c r="G343" s="10">
        <v>3</v>
      </c>
      <c r="H343" s="10" t="str">
        <f>_xlfn.XLOOKUP($E343,'games played'!$A:$A,'games played'!K:K,"xxx")</f>
        <v>3B</v>
      </c>
      <c r="I343" s="10" t="b">
        <f>_xlfn.XLOOKUP($E343,'games played'!$A:$A,'games played'!L:L,"xxx")</f>
        <v>0</v>
      </c>
    </row>
    <row r="344" spans="1:9" x14ac:dyDescent="0.2">
      <c r="A344" s="1">
        <v>344</v>
      </c>
      <c r="B344" s="1">
        <f>_xlfn.XLOOKUP($C344,mlb_ids!E:E,mlb_ids!A:A,"xxx")</f>
        <v>519317</v>
      </c>
      <c r="C344" s="11" t="s">
        <v>186</v>
      </c>
      <c r="D344" s="2" t="s">
        <v>186</v>
      </c>
      <c r="E344" s="2" t="s">
        <v>186</v>
      </c>
      <c r="F344" s="10" t="s">
        <v>2198</v>
      </c>
      <c r="G344" s="10">
        <v>3</v>
      </c>
      <c r="H344" s="10" t="str">
        <f>_xlfn.XLOOKUP($E344,'games played'!$A:$A,'games played'!K:K,"xxx")</f>
        <v>DH</v>
      </c>
      <c r="I344" s="10" t="b">
        <f>_xlfn.XLOOKUP($E344,'games played'!$A:$A,'games played'!L:L,"xxx")</f>
        <v>0</v>
      </c>
    </row>
    <row r="345" spans="1:9" x14ac:dyDescent="0.2">
      <c r="A345" s="1">
        <v>345</v>
      </c>
      <c r="B345" s="1">
        <f>_xlfn.XLOOKUP($C345,mlb_ids!E:E,mlb_ids!A:A,"xxx")</f>
        <v>660710</v>
      </c>
      <c r="C345" s="11" t="s">
        <v>187</v>
      </c>
      <c r="D345" s="2" t="s">
        <v>187</v>
      </c>
      <c r="E345" s="2" t="s">
        <v>560</v>
      </c>
      <c r="F345" s="10" t="s">
        <v>2222</v>
      </c>
      <c r="G345" s="10">
        <v>3</v>
      </c>
      <c r="H345" s="10" t="str">
        <f>_xlfn.XLOOKUP($E345,'games played'!$A:$A,'games played'!K:K,"xxx")</f>
        <v>C</v>
      </c>
      <c r="I345" s="10" t="b">
        <f>_xlfn.XLOOKUP($E345,'games played'!$A:$A,'games played'!L:L,"xxx")</f>
        <v>0</v>
      </c>
    </row>
    <row r="346" spans="1:9" x14ac:dyDescent="0.2">
      <c r="A346" s="1">
        <v>346</v>
      </c>
      <c r="B346" s="1">
        <f>_xlfn.XLOOKUP($C346,mlb_ids!E:E,mlb_ids!A:A,"xxx")</f>
        <v>682997</v>
      </c>
      <c r="C346" s="11" t="s">
        <v>415</v>
      </c>
      <c r="D346" s="2" t="s">
        <v>415</v>
      </c>
      <c r="E346" s="2" t="s">
        <v>415</v>
      </c>
      <c r="F346" s="10" t="s">
        <v>2203</v>
      </c>
      <c r="G346" s="10">
        <v>3</v>
      </c>
      <c r="H346" s="10" t="str">
        <f>_xlfn.XLOOKUP($E346,'games played'!$A:$A,'games played'!K:K,"xxx")</f>
        <v>RF</v>
      </c>
      <c r="I346" s="10" t="b">
        <f>_xlfn.XLOOKUP($E346,'games played'!$A:$A,'games played'!L:L,"xxx")</f>
        <v>0</v>
      </c>
    </row>
    <row r="347" spans="1:9" x14ac:dyDescent="0.2">
      <c r="A347" s="1">
        <v>347</v>
      </c>
      <c r="B347" s="1">
        <f>_xlfn.XLOOKUP($C347,mlb_ids!E:E,mlb_ids!A:A,"xxx")</f>
        <v>669699</v>
      </c>
      <c r="C347" s="11" t="s">
        <v>416</v>
      </c>
      <c r="D347" s="2" t="s">
        <v>416</v>
      </c>
      <c r="E347" s="2" t="s">
        <v>416</v>
      </c>
      <c r="F347" s="10" t="s">
        <v>2204</v>
      </c>
      <c r="G347" s="10">
        <v>3</v>
      </c>
      <c r="H347" s="10" t="str">
        <f>_xlfn.XLOOKUP($E347,'games played'!$A:$A,'games played'!K:K,"xxx")</f>
        <v>3B</v>
      </c>
      <c r="I347" s="10" t="b">
        <f>_xlfn.XLOOKUP($E347,'games played'!$A:$A,'games played'!L:L,"xxx")</f>
        <v>1</v>
      </c>
    </row>
    <row r="348" spans="1:9" x14ac:dyDescent="0.2">
      <c r="A348" s="1">
        <v>348</v>
      </c>
      <c r="B348" s="1">
        <f>_xlfn.XLOOKUP($C348,mlb_ids!E:E,mlb_ids!A:A,"xxx")</f>
        <v>686894</v>
      </c>
      <c r="C348" s="11" t="s">
        <v>188</v>
      </c>
      <c r="D348" s="2" t="s">
        <v>188</v>
      </c>
      <c r="E348" s="2" t="s">
        <v>188</v>
      </c>
      <c r="F348" s="10" t="s">
        <v>2195</v>
      </c>
      <c r="G348" s="10">
        <v>3</v>
      </c>
      <c r="H348" s="10" t="str">
        <f>_xlfn.XLOOKUP($E348,'games played'!$A:$A,'games played'!K:K,"xxx")</f>
        <v>RF</v>
      </c>
      <c r="I348" s="10" t="b">
        <f>_xlfn.XLOOKUP($E348,'games played'!$A:$A,'games played'!L:L,"xxx")</f>
        <v>0</v>
      </c>
    </row>
    <row r="349" spans="1:9" x14ac:dyDescent="0.2">
      <c r="A349" s="1">
        <v>349</v>
      </c>
      <c r="B349" s="1">
        <f>_xlfn.XLOOKUP($C349,mlb_ids!E:E,mlb_ids!A:A,"xxx")</f>
        <v>677592</v>
      </c>
      <c r="C349" s="11" t="s">
        <v>189</v>
      </c>
      <c r="D349" s="2" t="s">
        <v>189</v>
      </c>
      <c r="E349" s="2" t="s">
        <v>189</v>
      </c>
      <c r="F349" s="10" t="s">
        <v>2206</v>
      </c>
      <c r="G349" s="10">
        <v>3</v>
      </c>
      <c r="H349" s="10" t="str">
        <f>_xlfn.XLOOKUP($E349,'games played'!$A:$A,'games played'!K:K,"xxx")</f>
        <v>RF</v>
      </c>
      <c r="I349" s="10" t="b">
        <f>_xlfn.XLOOKUP($E349,'games played'!$A:$A,'games played'!L:L,"xxx")</f>
        <v>0</v>
      </c>
    </row>
    <row r="350" spans="1:9" x14ac:dyDescent="0.2">
      <c r="A350" s="1">
        <v>350</v>
      </c>
      <c r="B350" s="1">
        <f>_xlfn.XLOOKUP($C350,mlb_ids!E:E,mlb_ids!A:A,"xxx")</f>
        <v>669899</v>
      </c>
      <c r="C350" s="11" t="s">
        <v>417</v>
      </c>
      <c r="D350" s="2" t="s">
        <v>417</v>
      </c>
      <c r="E350" s="2" t="s">
        <v>417</v>
      </c>
      <c r="F350" s="10" t="s">
        <v>2201</v>
      </c>
      <c r="G350" s="10">
        <v>3</v>
      </c>
      <c r="H350" s="10" t="str">
        <f>_xlfn.XLOOKUP($E350,'games played'!$A:$A,'games played'!K:K,"xxx")</f>
        <v>LF</v>
      </c>
      <c r="I350" s="10" t="b">
        <f>_xlfn.XLOOKUP($E350,'games played'!$A:$A,'games played'!L:L,"xxx")</f>
        <v>0</v>
      </c>
    </row>
    <row r="351" spans="1:9" x14ac:dyDescent="0.2">
      <c r="A351" s="1">
        <v>351</v>
      </c>
      <c r="B351" s="1">
        <f>_xlfn.XLOOKUP($C351,mlb_ids!E:E,mlb_ids!A:A,"xxx")</f>
        <v>805904</v>
      </c>
      <c r="C351" s="11" t="s">
        <v>418</v>
      </c>
      <c r="D351" s="2" t="s">
        <v>418</v>
      </c>
      <c r="E351" s="2" t="s">
        <v>418</v>
      </c>
      <c r="F351" s="10" t="s">
        <v>2196</v>
      </c>
      <c r="G351" s="10">
        <v>3</v>
      </c>
      <c r="H351" s="10" t="str">
        <f>_xlfn.XLOOKUP($E351,'games played'!$A:$A,'games played'!K:K,"xxx")</f>
        <v>LF</v>
      </c>
      <c r="I351" s="10" t="b">
        <f>_xlfn.XLOOKUP($E351,'games played'!$A:$A,'games played'!L:L,"xxx")</f>
        <v>0</v>
      </c>
    </row>
    <row r="352" spans="1:9" x14ac:dyDescent="0.2">
      <c r="A352" s="1">
        <v>352</v>
      </c>
      <c r="B352" s="1">
        <f>_xlfn.XLOOKUP($C352,mlb_ids!E:E,mlb_ids!A:A,"xxx")</f>
        <v>702222</v>
      </c>
      <c r="C352" s="11" t="s">
        <v>419</v>
      </c>
      <c r="D352" s="2" t="s">
        <v>419</v>
      </c>
      <c r="E352" s="2" t="s">
        <v>419</v>
      </c>
      <c r="F352" s="10" t="s">
        <v>2202</v>
      </c>
      <c r="G352" s="10">
        <v>2</v>
      </c>
      <c r="H352" s="10" t="str">
        <f>_xlfn.XLOOKUP($E352,'games played'!$A:$A,'games played'!K:K,"xxx")</f>
        <v>CF</v>
      </c>
      <c r="I352" s="10" t="b">
        <f>_xlfn.XLOOKUP($E352,'games played'!$A:$A,'games played'!L:L,"xxx")</f>
        <v>0</v>
      </c>
    </row>
    <row r="353" spans="1:9" x14ac:dyDescent="0.2">
      <c r="A353" s="1">
        <v>353</v>
      </c>
      <c r="B353" s="1">
        <f>_xlfn.XLOOKUP($C353,mlb_ids!E:E,mlb_ids!A:A,"xxx")</f>
        <v>668885</v>
      </c>
      <c r="C353" s="11" t="s">
        <v>190</v>
      </c>
      <c r="D353" s="2" t="s">
        <v>190</v>
      </c>
      <c r="E353" s="2" t="s">
        <v>190</v>
      </c>
      <c r="F353" s="10" t="s">
        <v>2218</v>
      </c>
      <c r="G353" s="10">
        <v>2</v>
      </c>
      <c r="H353" s="10" t="str">
        <f>_xlfn.XLOOKUP($E353,'games played'!$A:$A,'games played'!K:K,"xxx")</f>
        <v>RF</v>
      </c>
      <c r="I353" s="10" t="b">
        <f>_xlfn.XLOOKUP($E353,'games played'!$A:$A,'games played'!L:L,"xxx")</f>
        <v>0</v>
      </c>
    </row>
    <row r="354" spans="1:9" x14ac:dyDescent="0.2">
      <c r="A354" s="1">
        <v>354</v>
      </c>
      <c r="B354" s="1">
        <f>_xlfn.XLOOKUP($C354,mlb_ids!E:E,mlb_ids!A:A,"xxx")</f>
        <v>663968</v>
      </c>
      <c r="C354" s="11" t="s">
        <v>492</v>
      </c>
      <c r="D354" s="2" t="s">
        <v>492</v>
      </c>
      <c r="E354" s="2" t="s">
        <v>492</v>
      </c>
      <c r="F354" s="10" t="s">
        <v>2203</v>
      </c>
      <c r="G354" s="10">
        <v>2</v>
      </c>
      <c r="H354" s="10" t="str">
        <f>_xlfn.XLOOKUP($E354,'games played'!$A:$A,'games played'!K:K,"xxx")</f>
        <v>LF</v>
      </c>
      <c r="I354" s="10" t="b">
        <f>_xlfn.XLOOKUP($E354,'games played'!$A:$A,'games played'!L:L,"xxx")</f>
        <v>0</v>
      </c>
    </row>
    <row r="355" spans="1:9" x14ac:dyDescent="0.2">
      <c r="A355" s="1">
        <v>355</v>
      </c>
      <c r="B355" s="1">
        <f>_xlfn.XLOOKUP($C355,mlb_ids!E:E,mlb_ids!A:A,"xxx")</f>
        <v>663743</v>
      </c>
      <c r="C355" s="11" t="s">
        <v>191</v>
      </c>
      <c r="D355" s="2" t="s">
        <v>191</v>
      </c>
      <c r="E355" s="2" t="s">
        <v>191</v>
      </c>
      <c r="F355" s="10" t="s">
        <v>2205</v>
      </c>
      <c r="G355" s="10">
        <v>2</v>
      </c>
      <c r="H355" s="10" t="str">
        <f>_xlfn.XLOOKUP($E355,'games played'!$A:$A,'games played'!K:K,"xxx")</f>
        <v>C</v>
      </c>
      <c r="I355" s="10" t="b">
        <f>_xlfn.XLOOKUP($E355,'games played'!$A:$A,'games played'!L:L,"xxx")</f>
        <v>0</v>
      </c>
    </row>
    <row r="356" spans="1:9" x14ac:dyDescent="0.2">
      <c r="A356" s="1">
        <v>356</v>
      </c>
      <c r="B356" s="1">
        <f>_xlfn.XLOOKUP($C356,mlb_ids!E:E,mlb_ids!A:A,"xxx")</f>
        <v>810938</v>
      </c>
      <c r="C356" s="11" t="s">
        <v>192</v>
      </c>
      <c r="D356" s="2" t="s">
        <v>192</v>
      </c>
      <c r="E356" s="2" t="s">
        <v>192</v>
      </c>
      <c r="F356" s="10" t="s">
        <v>2205</v>
      </c>
      <c r="G356" s="10">
        <v>2</v>
      </c>
      <c r="H356" s="10" t="str">
        <f>_xlfn.XLOOKUP($E356,'games played'!$A:$A,'games played'!K:K,"xxx")</f>
        <v>2B</v>
      </c>
      <c r="I356" s="10" t="b">
        <f>_xlfn.XLOOKUP($E356,'games played'!$A:$A,'games played'!L:L,"xxx")</f>
        <v>0</v>
      </c>
    </row>
    <row r="357" spans="1:9" x14ac:dyDescent="0.2">
      <c r="A357" s="1">
        <v>357</v>
      </c>
      <c r="B357" s="1">
        <f>_xlfn.XLOOKUP($C357,mlb_ids!E:E,mlb_ids!A:A,"xxx")</f>
        <v>666971</v>
      </c>
      <c r="C357" s="11" t="s">
        <v>193</v>
      </c>
      <c r="D357" s="2" t="s">
        <v>193</v>
      </c>
      <c r="E357" s="2" t="s">
        <v>574</v>
      </c>
      <c r="F357" s="10" t="s">
        <v>2215</v>
      </c>
      <c r="G357" s="10">
        <v>2</v>
      </c>
      <c r="H357" s="10" t="str">
        <f>_xlfn.XLOOKUP($E357,'games played'!$A:$A,'games played'!K:K,"xxx")</f>
        <v>LF</v>
      </c>
      <c r="I357" s="10" t="b">
        <f>_xlfn.XLOOKUP($E357,'games played'!$A:$A,'games played'!L:L,"xxx")</f>
        <v>0</v>
      </c>
    </row>
    <row r="358" spans="1:9" x14ac:dyDescent="0.2">
      <c r="A358" s="1">
        <v>358</v>
      </c>
      <c r="B358" s="1">
        <f>_xlfn.XLOOKUP($C358,mlb_ids!E:E,mlb_ids!A:A,"xxx")</f>
        <v>687363</v>
      </c>
      <c r="C358" s="11" t="s">
        <v>420</v>
      </c>
      <c r="D358" s="2" t="s">
        <v>420</v>
      </c>
      <c r="E358" s="2" t="s">
        <v>662</v>
      </c>
      <c r="F358" s="10" t="s">
        <v>2199</v>
      </c>
      <c r="G358" s="10">
        <v>2</v>
      </c>
      <c r="H358" s="10" t="str">
        <f>_xlfn.XLOOKUP($E358,'games played'!$A:$A,'games played'!K:K,"xxx")</f>
        <v>CF</v>
      </c>
      <c r="I358" s="10" t="b">
        <f>_xlfn.XLOOKUP($E358,'games played'!$A:$A,'games played'!L:L,"xxx")</f>
        <v>0</v>
      </c>
    </row>
    <row r="359" spans="1:9" x14ac:dyDescent="0.2">
      <c r="A359" s="1">
        <v>359</v>
      </c>
      <c r="B359" s="1">
        <f>_xlfn.XLOOKUP($C359,mlb_ids!E:E,mlb_ids!A:A,"xxx")</f>
        <v>620443</v>
      </c>
      <c r="C359" s="11" t="s">
        <v>194</v>
      </c>
      <c r="D359" s="2" t="s">
        <v>194</v>
      </c>
      <c r="E359" s="2" t="s">
        <v>194</v>
      </c>
      <c r="F359" s="10" t="s">
        <v>2219</v>
      </c>
      <c r="G359" s="10">
        <v>2</v>
      </c>
      <c r="H359" s="10" t="str">
        <f>_xlfn.XLOOKUP($E359,'games played'!$A:$A,'games played'!K:K,"xxx")</f>
        <v>C</v>
      </c>
      <c r="I359" s="10" t="b">
        <f>_xlfn.XLOOKUP($E359,'games played'!$A:$A,'games played'!L:L,"xxx")</f>
        <v>0</v>
      </c>
    </row>
    <row r="360" spans="1:9" x14ac:dyDescent="0.2">
      <c r="A360" s="1">
        <v>360</v>
      </c>
      <c r="B360" s="1">
        <f>_xlfn.XLOOKUP($C360,mlb_ids!E:E,mlb_ids!A:A,"xxx")</f>
        <v>665966</v>
      </c>
      <c r="C360" s="11" t="s">
        <v>195</v>
      </c>
      <c r="D360" s="2" t="s">
        <v>195</v>
      </c>
      <c r="E360" s="2" t="s">
        <v>624</v>
      </c>
      <c r="F360" s="10" t="s">
        <v>2216</v>
      </c>
      <c r="G360" s="10">
        <v>2</v>
      </c>
      <c r="H360" s="10" t="str">
        <f>_xlfn.XLOOKUP($E360,'games played'!$A:$A,'games played'!K:K,"xxx")</f>
        <v>C</v>
      </c>
      <c r="I360" s="10" t="b">
        <f>_xlfn.XLOOKUP($E360,'games played'!$A:$A,'games played'!L:L,"xxx")</f>
        <v>0</v>
      </c>
    </row>
    <row r="361" spans="1:9" x14ac:dyDescent="0.2">
      <c r="A361" s="1">
        <v>361</v>
      </c>
      <c r="B361" s="1">
        <f>_xlfn.XLOOKUP($C361,mlb_ids!E:E,mlb_ids!A:A,"xxx")</f>
        <v>700337</v>
      </c>
      <c r="C361" s="11" t="s">
        <v>493</v>
      </c>
      <c r="D361" s="2" t="s">
        <v>493</v>
      </c>
      <c r="E361" s="2" t="s">
        <v>493</v>
      </c>
      <c r="F361" s="10" t="s">
        <v>2206</v>
      </c>
      <c r="G361" s="10">
        <v>2</v>
      </c>
      <c r="H361" s="10" t="str">
        <f>_xlfn.XLOOKUP($E361,'games played'!$A:$A,'games played'!K:K,"xxx")</f>
        <v>C</v>
      </c>
      <c r="I361" s="10" t="b">
        <f>_xlfn.XLOOKUP($E361,'games played'!$A:$A,'games played'!L:L,"xxx")</f>
        <v>0</v>
      </c>
    </row>
    <row r="362" spans="1:9" x14ac:dyDescent="0.2">
      <c r="A362" s="1">
        <v>362</v>
      </c>
      <c r="B362" s="1">
        <f>_xlfn.XLOOKUP($C362,mlb_ids!E:E,mlb_ids!A:A,"xxx")</f>
        <v>683734</v>
      </c>
      <c r="C362" s="11" t="s">
        <v>196</v>
      </c>
      <c r="D362" s="2" t="s">
        <v>196</v>
      </c>
      <c r="E362" s="2" t="s">
        <v>196</v>
      </c>
      <c r="F362" s="10" t="s">
        <v>2204</v>
      </c>
      <c r="G362" s="10">
        <v>2</v>
      </c>
      <c r="H362" s="10" t="str">
        <f>_xlfn.XLOOKUP($E362,'games played'!$A:$A,'games played'!K:K,"xxx")</f>
        <v>1B</v>
      </c>
      <c r="I362" s="10" t="b">
        <f>_xlfn.XLOOKUP($E362,'games played'!$A:$A,'games played'!L:L,"xxx")</f>
        <v>0</v>
      </c>
    </row>
    <row r="363" spans="1:9" x14ac:dyDescent="0.2">
      <c r="A363" s="1">
        <v>363</v>
      </c>
      <c r="B363" s="1">
        <f>_xlfn.XLOOKUP($C363,mlb_ids!E:E,mlb_ids!A:A,"xxx")</f>
        <v>694362</v>
      </c>
      <c r="C363" s="11" t="s">
        <v>197</v>
      </c>
      <c r="D363" s="2" t="s">
        <v>197</v>
      </c>
      <c r="E363" s="2" t="s">
        <v>197</v>
      </c>
      <c r="F363" s="10" t="s">
        <v>2208</v>
      </c>
      <c r="G363" s="10">
        <v>2</v>
      </c>
      <c r="H363" s="10" t="str">
        <f>_xlfn.XLOOKUP($E363,'games played'!$A:$A,'games played'!K:K,"xxx")</f>
        <v>CF</v>
      </c>
      <c r="I363" s="10" t="b">
        <f>_xlfn.XLOOKUP($E363,'games played'!$A:$A,'games played'!L:L,"xxx")</f>
        <v>0</v>
      </c>
    </row>
    <row r="364" spans="1:9" x14ac:dyDescent="0.2">
      <c r="A364" s="1">
        <v>364</v>
      </c>
      <c r="B364" s="1">
        <f>_xlfn.XLOOKUP($C364,mlb_ids!E:E,mlb_ids!A:A,"xxx")</f>
        <v>686452</v>
      </c>
      <c r="C364" s="11" t="s">
        <v>494</v>
      </c>
      <c r="D364" s="2" t="s">
        <v>494</v>
      </c>
      <c r="E364" s="2" t="s">
        <v>494</v>
      </c>
      <c r="F364" s="10" t="s">
        <v>2195</v>
      </c>
      <c r="G364" s="10">
        <v>2</v>
      </c>
      <c r="H364" s="10" t="str">
        <f>_xlfn.XLOOKUP($E364,'games played'!$A:$A,'games played'!K:K,"xxx")</f>
        <v>C</v>
      </c>
      <c r="I364" s="10" t="b">
        <f>_xlfn.XLOOKUP($E364,'games played'!$A:$A,'games played'!L:L,"xxx")</f>
        <v>0</v>
      </c>
    </row>
    <row r="365" spans="1:9" x14ac:dyDescent="0.2">
      <c r="A365" s="1">
        <v>365</v>
      </c>
      <c r="B365" s="1">
        <f>_xlfn.XLOOKUP($C365,mlb_ids!E:E,mlb_ids!A:A,"xxx")</f>
        <v>687637</v>
      </c>
      <c r="C365" s="11" t="s">
        <v>421</v>
      </c>
      <c r="D365" s="2" t="s">
        <v>421</v>
      </c>
      <c r="E365" s="2" t="s">
        <v>421</v>
      </c>
      <c r="F365" s="10" t="s">
        <v>2212</v>
      </c>
      <c r="G365" s="10">
        <v>2</v>
      </c>
      <c r="H365" s="10" t="str">
        <f>_xlfn.XLOOKUP($E365,'games played'!$A:$A,'games played'!K:K,"xxx")</f>
        <v>RF</v>
      </c>
      <c r="I365" s="10" t="b">
        <f>_xlfn.XLOOKUP($E365,'games played'!$A:$A,'games played'!L:L,"xxx")</f>
        <v>0</v>
      </c>
    </row>
    <row r="366" spans="1:9" x14ac:dyDescent="0.2">
      <c r="A366" s="1">
        <v>366</v>
      </c>
      <c r="B366" s="1">
        <f>_xlfn.XLOOKUP($C366,mlb_ids!E:E,mlb_ids!A:A,"xxx")</f>
        <v>685133</v>
      </c>
      <c r="C366" s="11" t="s">
        <v>422</v>
      </c>
      <c r="D366" s="2" t="s">
        <v>422</v>
      </c>
      <c r="E366" s="2" t="s">
        <v>422</v>
      </c>
      <c r="F366" s="10" t="s">
        <v>2210</v>
      </c>
      <c r="G366" s="10">
        <v>2</v>
      </c>
      <c r="H366" s="10" t="str">
        <f>_xlfn.XLOOKUP($E366,'games played'!$A:$A,'games played'!K:K,"xxx")</f>
        <v>LF</v>
      </c>
      <c r="I366" s="10" t="b">
        <f>_xlfn.XLOOKUP($E366,'games played'!$A:$A,'games played'!L:L,"xxx")</f>
        <v>0</v>
      </c>
    </row>
    <row r="367" spans="1:9" x14ac:dyDescent="0.2">
      <c r="A367" s="1">
        <v>367</v>
      </c>
      <c r="B367" s="1">
        <f>_xlfn.XLOOKUP($C367,mlb_ids!E:E,mlb_ids!A:A,"xxx")</f>
        <v>676439</v>
      </c>
      <c r="C367" s="11" t="s">
        <v>423</v>
      </c>
      <c r="D367" s="2" t="s">
        <v>423</v>
      </c>
      <c r="E367" s="2" t="s">
        <v>423</v>
      </c>
      <c r="F367" s="10" t="s">
        <v>2205</v>
      </c>
      <c r="G367" s="10">
        <v>2</v>
      </c>
      <c r="H367" s="10" t="str">
        <f>_xlfn.XLOOKUP($E367,'games played'!$A:$A,'games played'!K:K,"xxx")</f>
        <v>C</v>
      </c>
      <c r="I367" s="10" t="b">
        <f>_xlfn.XLOOKUP($E367,'games played'!$A:$A,'games played'!L:L,"xxx")</f>
        <v>0</v>
      </c>
    </row>
    <row r="368" spans="1:9" x14ac:dyDescent="0.2">
      <c r="A368" s="1">
        <v>368</v>
      </c>
      <c r="B368" s="1">
        <f>_xlfn.XLOOKUP($C368,mlb_ids!E:E,mlb_ids!A:A,"xxx")</f>
        <v>663647</v>
      </c>
      <c r="C368" s="11" t="s">
        <v>198</v>
      </c>
      <c r="D368" s="2" t="s">
        <v>198</v>
      </c>
      <c r="E368" s="2" t="s">
        <v>198</v>
      </c>
      <c r="F368" s="10" t="s">
        <v>2208</v>
      </c>
      <c r="G368" s="10">
        <v>2</v>
      </c>
      <c r="H368" s="10" t="str">
        <f>_xlfn.XLOOKUP($E368,'games played'!$A:$A,'games played'!K:K,"xxx")</f>
        <v>3B</v>
      </c>
      <c r="I368" s="10" t="b">
        <f>_xlfn.XLOOKUP($E368,'games played'!$A:$A,'games played'!L:L,"xxx")</f>
        <v>0</v>
      </c>
    </row>
    <row r="369" spans="1:9" x14ac:dyDescent="0.2">
      <c r="A369" s="1">
        <v>369</v>
      </c>
      <c r="B369" s="1">
        <f>_xlfn.XLOOKUP($C369,mlb_ids!E:E,mlb_ids!A:A,"xxx")</f>
        <v>643396</v>
      </c>
      <c r="C369" s="11" t="s">
        <v>199</v>
      </c>
      <c r="D369" s="2" t="s">
        <v>199</v>
      </c>
      <c r="E369" s="2" t="s">
        <v>199</v>
      </c>
      <c r="F369" s="10" t="s">
        <v>2216</v>
      </c>
      <c r="G369" s="10">
        <v>2</v>
      </c>
      <c r="H369" s="10" t="str">
        <f>_xlfn.XLOOKUP($E369,'games played'!$A:$A,'games played'!K:K,"xxx")</f>
        <v>2B</v>
      </c>
      <c r="I369" s="10" t="b">
        <f>_xlfn.XLOOKUP($E369,'games played'!$A:$A,'games played'!L:L,"xxx")</f>
        <v>0</v>
      </c>
    </row>
    <row r="370" spans="1:9" x14ac:dyDescent="0.2">
      <c r="A370" s="1">
        <v>370</v>
      </c>
      <c r="B370" s="1">
        <f>_xlfn.XLOOKUP($C370,mlb_ids!E:E,mlb_ids!A:A,"xxx")</f>
        <v>678489</v>
      </c>
      <c r="C370" s="11" t="s">
        <v>495</v>
      </c>
      <c r="D370" s="2" t="s">
        <v>495</v>
      </c>
      <c r="E370" s="2" t="s">
        <v>495</v>
      </c>
      <c r="F370" s="10" t="s">
        <v>2215</v>
      </c>
      <c r="G370" s="10">
        <v>2</v>
      </c>
      <c r="H370" s="10" t="str">
        <f>_xlfn.XLOOKUP($E370,'games played'!$A:$A,'games played'!K:K,"xxx")</f>
        <v>CF</v>
      </c>
      <c r="I370" s="10" t="b">
        <f>_xlfn.XLOOKUP($E370,'games played'!$A:$A,'games played'!L:L,"xxx")</f>
        <v>0</v>
      </c>
    </row>
    <row r="371" spans="1:9" x14ac:dyDescent="0.2">
      <c r="A371" s="1">
        <v>371</v>
      </c>
      <c r="B371" s="1">
        <f>_xlfn.XLOOKUP($C371,mlb_ids!E:E,mlb_ids!A:A,"xxx")</f>
        <v>682663</v>
      </c>
      <c r="C371" s="11" t="s">
        <v>200</v>
      </c>
      <c r="D371" s="2" t="s">
        <v>200</v>
      </c>
      <c r="E371" s="2" t="s">
        <v>641</v>
      </c>
      <c r="F371" s="10" t="s">
        <v>2211</v>
      </c>
      <c r="G371" s="10">
        <v>2</v>
      </c>
      <c r="H371" s="10" t="str">
        <f>_xlfn.XLOOKUP($E371,'games played'!$A:$A,'games played'!K:K,"xxx")</f>
        <v>C</v>
      </c>
      <c r="I371" s="10" t="b">
        <f>_xlfn.XLOOKUP($E371,'games played'!$A:$A,'games played'!L:L,"xxx")</f>
        <v>0</v>
      </c>
    </row>
    <row r="372" spans="1:9" x14ac:dyDescent="0.2">
      <c r="A372" s="1">
        <v>372</v>
      </c>
      <c r="B372" s="1">
        <f>_xlfn.XLOOKUP($C372,mlb_ids!E:E,mlb_ids!A:A,"xxx")</f>
        <v>677870</v>
      </c>
      <c r="C372" s="11" t="s">
        <v>201</v>
      </c>
      <c r="D372" s="2" t="s">
        <v>201</v>
      </c>
      <c r="E372" s="2" t="s">
        <v>590</v>
      </c>
      <c r="F372" s="10" t="s">
        <v>2211</v>
      </c>
      <c r="G372" s="10">
        <v>2</v>
      </c>
      <c r="H372" s="10" t="str">
        <f>_xlfn.XLOOKUP($E372,'games played'!$A:$A,'games played'!K:K,"xxx")</f>
        <v>3B</v>
      </c>
      <c r="I372" s="10" t="b">
        <f>_xlfn.XLOOKUP($E372,'games played'!$A:$A,'games played'!L:L,"xxx")</f>
        <v>0</v>
      </c>
    </row>
    <row r="373" spans="1:9" x14ac:dyDescent="0.2">
      <c r="A373" s="1">
        <v>373</v>
      </c>
      <c r="B373" s="1">
        <f>_xlfn.XLOOKUP($C373,mlb_ids!E:E,mlb_ids!A:A,"xxx")</f>
        <v>663330</v>
      </c>
      <c r="C373" s="11" t="s">
        <v>202</v>
      </c>
      <c r="D373" s="2" t="s">
        <v>202</v>
      </c>
      <c r="E373" s="2" t="s">
        <v>202</v>
      </c>
      <c r="F373" s="10" t="s">
        <v>2217</v>
      </c>
      <c r="G373" s="10">
        <v>2</v>
      </c>
      <c r="H373" s="10" t="str">
        <f>_xlfn.XLOOKUP($E373,'games played'!$A:$A,'games played'!K:K,"xxx")</f>
        <v>DH</v>
      </c>
      <c r="I373" s="10" t="b">
        <f>_xlfn.XLOOKUP($E373,'games played'!$A:$A,'games played'!L:L,"xxx")</f>
        <v>0</v>
      </c>
    </row>
    <row r="374" spans="1:9" x14ac:dyDescent="0.2">
      <c r="A374" s="1">
        <v>374</v>
      </c>
      <c r="B374" s="1">
        <f>_xlfn.XLOOKUP($C374,mlb_ids!E:E,mlb_ids!A:A,"xxx")</f>
        <v>677950</v>
      </c>
      <c r="C374" s="11" t="s">
        <v>424</v>
      </c>
      <c r="D374" s="2" t="s">
        <v>424</v>
      </c>
      <c r="E374" s="2" t="s">
        <v>424</v>
      </c>
      <c r="F374" s="10" t="s">
        <v>2215</v>
      </c>
      <c r="G374" s="10">
        <v>2</v>
      </c>
      <c r="H374" s="10" t="str">
        <f>_xlfn.XLOOKUP($E374,'games played'!$A:$A,'games played'!K:K,"xxx")</f>
        <v>CF</v>
      </c>
      <c r="I374" s="10" t="b">
        <f>_xlfn.XLOOKUP($E374,'games played'!$A:$A,'games played'!L:L,"xxx")</f>
        <v>0</v>
      </c>
    </row>
    <row r="375" spans="1:9" x14ac:dyDescent="0.2">
      <c r="A375" s="1">
        <v>375</v>
      </c>
      <c r="B375" s="1">
        <f>_xlfn.XLOOKUP($C375,mlb_ids!E:E,mlb_ids!A:A,"xxx")</f>
        <v>672386</v>
      </c>
      <c r="C375" s="11" t="s">
        <v>203</v>
      </c>
      <c r="D375" s="2" t="s">
        <v>203</v>
      </c>
      <c r="E375" s="2" t="s">
        <v>203</v>
      </c>
      <c r="F375" s="10" t="s">
        <v>2220</v>
      </c>
      <c r="G375" s="10">
        <v>2</v>
      </c>
      <c r="H375" s="10" t="str">
        <f>_xlfn.XLOOKUP($E375,'games played'!$A:$A,'games played'!K:K,"xxx")</f>
        <v>C</v>
      </c>
      <c r="I375" s="10" t="b">
        <f>_xlfn.XLOOKUP($E375,'games played'!$A:$A,'games played'!L:L,"xxx")</f>
        <v>0</v>
      </c>
    </row>
    <row r="376" spans="1:9" x14ac:dyDescent="0.2">
      <c r="A376" s="1">
        <v>376</v>
      </c>
      <c r="B376" s="1">
        <f>_xlfn.XLOOKUP($C376,mlb_ids!E:E,mlb_ids!A:A,"xxx")</f>
        <v>673357</v>
      </c>
      <c r="C376" s="11" t="s">
        <v>204</v>
      </c>
      <c r="D376" s="2" t="s">
        <v>204</v>
      </c>
      <c r="E376" s="2" t="s">
        <v>648</v>
      </c>
      <c r="F376" s="10" t="s">
        <v>2219</v>
      </c>
      <c r="G376" s="10">
        <v>2</v>
      </c>
      <c r="H376" s="10" t="str">
        <f>_xlfn.XLOOKUP($E376,'games played'!$A:$A,'games played'!K:K,"xxx")</f>
        <v>CF</v>
      </c>
      <c r="I376" s="10" t="b">
        <f>_xlfn.XLOOKUP($E376,'games played'!$A:$A,'games played'!L:L,"xxx")</f>
        <v>0</v>
      </c>
    </row>
    <row r="377" spans="1:9" x14ac:dyDescent="0.2">
      <c r="A377" s="1">
        <v>377</v>
      </c>
      <c r="B377" s="1">
        <f>_xlfn.XLOOKUP($C377,mlb_ids!E:E,mlb_ids!A:A,"xxx")</f>
        <v>694378</v>
      </c>
      <c r="C377" s="11" t="s">
        <v>425</v>
      </c>
      <c r="D377" s="2" t="s">
        <v>425</v>
      </c>
      <c r="E377" s="2" t="s">
        <v>425</v>
      </c>
      <c r="F377" s="10" t="s">
        <v>2203</v>
      </c>
      <c r="G377" s="10">
        <v>2</v>
      </c>
      <c r="H377" s="10" t="str">
        <f>_xlfn.XLOOKUP($E377,'games played'!$A:$A,'games played'!K:K,"xxx")</f>
        <v>1B</v>
      </c>
      <c r="I377" s="10" t="b">
        <f>_xlfn.XLOOKUP($E377,'games played'!$A:$A,'games played'!L:L,"xxx")</f>
        <v>0</v>
      </c>
    </row>
    <row r="378" spans="1:9" x14ac:dyDescent="0.2">
      <c r="A378" s="1">
        <v>378</v>
      </c>
      <c r="B378" s="1">
        <f>_xlfn.XLOOKUP($C378,mlb_ids!E:E,mlb_ids!A:A,"xxx")</f>
        <v>641584</v>
      </c>
      <c r="C378" s="11" t="s">
        <v>426</v>
      </c>
      <c r="D378" s="2" t="s">
        <v>426</v>
      </c>
      <c r="E378" s="2" t="s">
        <v>426</v>
      </c>
      <c r="F378" s="10" t="s">
        <v>2205</v>
      </c>
      <c r="G378" s="10">
        <v>2</v>
      </c>
      <c r="H378" s="10" t="str">
        <f>_xlfn.XLOOKUP($E378,'games played'!$A:$A,'games played'!K:K,"xxx")</f>
        <v>RF</v>
      </c>
      <c r="I378" s="10" t="b">
        <f>_xlfn.XLOOKUP($E378,'games played'!$A:$A,'games played'!L:L,"xxx")</f>
        <v>0</v>
      </c>
    </row>
    <row r="379" spans="1:9" x14ac:dyDescent="0.2">
      <c r="A379" s="1">
        <v>379</v>
      </c>
      <c r="B379" s="1">
        <f>_xlfn.XLOOKUP($C379,mlb_ids!E:E,mlb_ids!A:A,"xxx")</f>
        <v>666310</v>
      </c>
      <c r="C379" s="11" t="s">
        <v>427</v>
      </c>
      <c r="D379" s="2" t="s">
        <v>427</v>
      </c>
      <c r="E379" s="2" t="s">
        <v>427</v>
      </c>
      <c r="F379" s="10" t="s">
        <v>2224</v>
      </c>
      <c r="G379" s="10">
        <v>2</v>
      </c>
      <c r="H379" s="10" t="str">
        <f>_xlfn.XLOOKUP($E379,'games played'!$A:$A,'games played'!K:K,"xxx")</f>
        <v>C</v>
      </c>
      <c r="I379" s="10" t="b">
        <f>_xlfn.XLOOKUP($E379,'games played'!$A:$A,'games played'!L:L,"xxx")</f>
        <v>0</v>
      </c>
    </row>
    <row r="380" spans="1:9" x14ac:dyDescent="0.2">
      <c r="A380" s="1">
        <v>380</v>
      </c>
      <c r="B380" s="1">
        <f>_xlfn.XLOOKUP($C380,mlb_ids!E:E,mlb_ids!A:A,"xxx")</f>
        <v>665561</v>
      </c>
      <c r="C380" s="11" t="s">
        <v>496</v>
      </c>
      <c r="D380" s="2" t="s">
        <v>496</v>
      </c>
      <c r="E380" s="2" t="s">
        <v>606</v>
      </c>
      <c r="F380" s="10" t="s">
        <v>2202</v>
      </c>
      <c r="G380" s="10">
        <v>2</v>
      </c>
      <c r="H380" s="10" t="str">
        <f>_xlfn.XLOOKUP($E380,'games played'!$A:$A,'games played'!K:K,"xxx")</f>
        <v>C</v>
      </c>
      <c r="I380" s="10" t="b">
        <f>_xlfn.XLOOKUP($E380,'games played'!$A:$A,'games played'!L:L,"xxx")</f>
        <v>0</v>
      </c>
    </row>
    <row r="381" spans="1:9" x14ac:dyDescent="0.2">
      <c r="A381" s="1">
        <v>381</v>
      </c>
      <c r="B381" s="1">
        <f>_xlfn.XLOOKUP($C381,mlb_ids!E:E,mlb_ids!A:A,"xxx")</f>
        <v>675961</v>
      </c>
      <c r="C381" s="11" t="s">
        <v>205</v>
      </c>
      <c r="D381" s="2" t="s">
        <v>205</v>
      </c>
      <c r="E381" s="2" t="s">
        <v>205</v>
      </c>
      <c r="F381" s="10" t="s">
        <v>2200</v>
      </c>
      <c r="G381" s="10">
        <v>2</v>
      </c>
      <c r="H381" s="10" t="str">
        <f>_xlfn.XLOOKUP($E381,'games played'!$A:$A,'games played'!K:K,"xxx")</f>
        <v>SS</v>
      </c>
      <c r="I381" s="10" t="b">
        <f>_xlfn.XLOOKUP($E381,'games played'!$A:$A,'games played'!L:L,"xxx")</f>
        <v>0</v>
      </c>
    </row>
    <row r="382" spans="1:9" x14ac:dyDescent="0.2">
      <c r="A382" s="1">
        <v>382</v>
      </c>
      <c r="B382" s="1">
        <f>_xlfn.XLOOKUP($C382,mlb_ids!E:E,mlb_ids!A:A,"xxx")</f>
        <v>678011</v>
      </c>
      <c r="C382" s="11" t="s">
        <v>497</v>
      </c>
      <c r="D382" s="2" t="s">
        <v>497</v>
      </c>
      <c r="E382" s="2" t="s">
        <v>497</v>
      </c>
      <c r="F382" s="10" t="s">
        <v>2216</v>
      </c>
      <c r="G382" s="10">
        <v>2</v>
      </c>
      <c r="H382" s="10" t="str">
        <f>_xlfn.XLOOKUP($E382,'games played'!$A:$A,'games played'!K:K,"xxx")</f>
        <v>2B</v>
      </c>
      <c r="I382" s="10" t="b">
        <f>_xlfn.XLOOKUP($E382,'games played'!$A:$A,'games played'!L:L,"xxx")</f>
        <v>0</v>
      </c>
    </row>
    <row r="383" spans="1:9" x14ac:dyDescent="0.2">
      <c r="A383" s="1">
        <v>383</v>
      </c>
      <c r="B383" s="1">
        <f>_xlfn.XLOOKUP($C383,mlb_ids!E:E,mlb_ids!A:A,"xxx")</f>
        <v>595879</v>
      </c>
      <c r="C383" s="11" t="s">
        <v>206</v>
      </c>
      <c r="D383" s="2" t="s">
        <v>206</v>
      </c>
      <c r="E383" s="2" t="s">
        <v>527</v>
      </c>
      <c r="F383" s="10" t="s">
        <v>2217</v>
      </c>
      <c r="G383" s="10">
        <v>2</v>
      </c>
      <c r="H383" s="10" t="str">
        <f>_xlfn.XLOOKUP($E383,'games played'!$A:$A,'games played'!K:K,"xxx")</f>
        <v>SS</v>
      </c>
      <c r="I383" s="10" t="b">
        <f>_xlfn.XLOOKUP($E383,'games played'!$A:$A,'games played'!L:L,"xxx")</f>
        <v>0</v>
      </c>
    </row>
    <row r="384" spans="1:9" x14ac:dyDescent="0.2">
      <c r="A384" s="1">
        <v>384</v>
      </c>
      <c r="B384" s="1">
        <f>_xlfn.XLOOKUP($C384,mlb_ids!E:E,mlb_ids!A:A,"xxx")</f>
        <v>682987</v>
      </c>
      <c r="C384" s="11" t="s">
        <v>428</v>
      </c>
      <c r="D384" s="2" t="s">
        <v>428</v>
      </c>
      <c r="E384" s="2" t="s">
        <v>428</v>
      </c>
      <c r="F384" s="10" t="s">
        <v>2198</v>
      </c>
      <c r="G384" s="10">
        <v>2</v>
      </c>
      <c r="H384" s="10" t="str">
        <f>_xlfn.XLOOKUP($E384,'games played'!$A:$A,'games played'!K:K,"xxx")</f>
        <v>CF</v>
      </c>
      <c r="I384" s="10" t="b">
        <f>_xlfn.XLOOKUP($E384,'games played'!$A:$A,'games played'!L:L,"xxx")</f>
        <v>0</v>
      </c>
    </row>
    <row r="385" spans="1:9" x14ac:dyDescent="0.2">
      <c r="A385" s="1">
        <v>385</v>
      </c>
      <c r="B385" s="1">
        <f>_xlfn.XLOOKUP($C385,mlb_ids!E:E,mlb_ids!A:A,"xxx")</f>
        <v>694514</v>
      </c>
      <c r="C385" s="11" t="s">
        <v>429</v>
      </c>
      <c r="D385" s="2" t="s">
        <v>429</v>
      </c>
      <c r="E385" s="2" t="s">
        <v>429</v>
      </c>
      <c r="F385" s="10" t="s">
        <v>2214</v>
      </c>
      <c r="G385" s="10">
        <v>2</v>
      </c>
      <c r="H385" s="10" t="str">
        <f>_xlfn.XLOOKUP($E385,'games played'!$A:$A,'games played'!K:K,"xxx")</f>
        <v>LF</v>
      </c>
      <c r="I385" s="10" t="b">
        <f>_xlfn.XLOOKUP($E385,'games played'!$A:$A,'games played'!L:L,"xxx")</f>
        <v>1</v>
      </c>
    </row>
    <row r="386" spans="1:9" x14ac:dyDescent="0.2">
      <c r="A386" s="1">
        <v>386</v>
      </c>
      <c r="B386" s="1">
        <f>_xlfn.XLOOKUP($C386,mlb_ids!E:E,mlb_ids!A:A,"xxx")</f>
        <v>687282</v>
      </c>
      <c r="C386" s="11" t="s">
        <v>430</v>
      </c>
      <c r="D386" s="2" t="s">
        <v>430</v>
      </c>
      <c r="E386" s="2" t="s">
        <v>645</v>
      </c>
      <c r="F386" s="10" t="s">
        <v>2202</v>
      </c>
      <c r="G386" s="10">
        <v>2</v>
      </c>
      <c r="H386" s="10" t="str">
        <f>_xlfn.XLOOKUP($E386,'games played'!$A:$A,'games played'!K:K,"xxx")</f>
        <v>RF</v>
      </c>
      <c r="I386" s="10" t="b">
        <f>_xlfn.XLOOKUP($E386,'games played'!$A:$A,'games played'!L:L,"xxx")</f>
        <v>0</v>
      </c>
    </row>
    <row r="387" spans="1:9" x14ac:dyDescent="0.2">
      <c r="A387" s="1">
        <v>387</v>
      </c>
      <c r="B387" s="1">
        <f>_xlfn.XLOOKUP($C387,mlb_ids!E:E,mlb_ids!A:A,"xxx")</f>
        <v>699625</v>
      </c>
      <c r="C387" s="11" t="s">
        <v>431</v>
      </c>
      <c r="D387" s="2" t="s">
        <v>431</v>
      </c>
      <c r="E387" s="2" t="s">
        <v>431</v>
      </c>
      <c r="F387" s="10" t="s">
        <v>2199</v>
      </c>
      <c r="G387" s="10">
        <v>2</v>
      </c>
      <c r="H387" s="10" t="str">
        <f>_xlfn.XLOOKUP($E387,'games played'!$A:$A,'games played'!K:K,"xxx")</f>
        <v>C</v>
      </c>
      <c r="I387" s="10" t="b">
        <f>_xlfn.XLOOKUP($E387,'games played'!$A:$A,'games played'!L:L,"xxx")</f>
        <v>0</v>
      </c>
    </row>
    <row r="388" spans="1:9" x14ac:dyDescent="0.2">
      <c r="A388" s="1">
        <v>388</v>
      </c>
      <c r="B388" s="1">
        <f>_xlfn.XLOOKUP($C388,mlb_ids!E:E,mlb_ids!A:A,"xxx")</f>
        <v>543510</v>
      </c>
      <c r="C388" s="11" t="s">
        <v>207</v>
      </c>
      <c r="D388" s="2" t="s">
        <v>207</v>
      </c>
      <c r="E388" s="2" t="s">
        <v>207</v>
      </c>
      <c r="F388" s="10" t="s">
        <v>2215</v>
      </c>
      <c r="G388" s="10">
        <v>2</v>
      </c>
      <c r="H388" s="10" t="str">
        <f>_xlfn.XLOOKUP($E388,'games played'!$A:$A,'games played'!K:K,"xxx")</f>
        <v>C</v>
      </c>
      <c r="I388" s="10" t="b">
        <f>_xlfn.XLOOKUP($E388,'games played'!$A:$A,'games played'!L:L,"xxx")</f>
        <v>0</v>
      </c>
    </row>
    <row r="389" spans="1:9" x14ac:dyDescent="0.2">
      <c r="A389" s="1">
        <v>389</v>
      </c>
      <c r="B389" s="1">
        <f>_xlfn.XLOOKUP($C389,mlb_ids!E:E,mlb_ids!A:A,"xxx")</f>
        <v>640902</v>
      </c>
      <c r="C389" s="11" t="s">
        <v>208</v>
      </c>
      <c r="D389" s="2" t="s">
        <v>208</v>
      </c>
      <c r="E389" s="2" t="s">
        <v>208</v>
      </c>
      <c r="F389" s="10" t="s">
        <v>2213</v>
      </c>
      <c r="G389" s="10">
        <v>2</v>
      </c>
      <c r="H389" s="10" t="str">
        <f>_xlfn.XLOOKUP($E389,'games played'!$A:$A,'games played'!K:K,"xxx")</f>
        <v>C</v>
      </c>
      <c r="I389" s="10" t="b">
        <f>_xlfn.XLOOKUP($E389,'games played'!$A:$A,'games played'!L:L,"xxx")</f>
        <v>0</v>
      </c>
    </row>
    <row r="390" spans="1:9" x14ac:dyDescent="0.2">
      <c r="A390" s="1">
        <v>390</v>
      </c>
      <c r="B390" s="1">
        <f>_xlfn.XLOOKUP($C390,mlb_ids!E:E,mlb_ids!A:A,"xxx")</f>
        <v>680474</v>
      </c>
      <c r="C390" s="11" t="s">
        <v>209</v>
      </c>
      <c r="D390" s="2" t="s">
        <v>209</v>
      </c>
      <c r="E390" s="2" t="s">
        <v>209</v>
      </c>
      <c r="F390" s="10" t="s">
        <v>2198</v>
      </c>
      <c r="G390" s="10">
        <v>2</v>
      </c>
      <c r="H390" s="10" t="str">
        <f>_xlfn.XLOOKUP($E390,'games played'!$A:$A,'games played'!K:K,"xxx")</f>
        <v>LF</v>
      </c>
      <c r="I390" s="10" t="b">
        <f>_xlfn.XLOOKUP($E390,'games played'!$A:$A,'games played'!L:L,"xxx")</f>
        <v>1</v>
      </c>
    </row>
    <row r="391" spans="1:9" x14ac:dyDescent="0.2">
      <c r="A391" s="1">
        <v>391</v>
      </c>
      <c r="B391" s="1">
        <f>_xlfn.XLOOKUP($C391,mlb_ids!E:E,mlb_ids!A:A,"xxx")</f>
        <v>602104</v>
      </c>
      <c r="C391" s="11" t="s">
        <v>210</v>
      </c>
      <c r="D391" s="2" t="s">
        <v>210</v>
      </c>
      <c r="E391" s="2" t="s">
        <v>679</v>
      </c>
      <c r="F391" s="10" t="s">
        <v>2199</v>
      </c>
      <c r="G391" s="10">
        <v>2</v>
      </c>
      <c r="H391" s="10" t="str">
        <f>_xlfn.XLOOKUP($E391,'games played'!$A:$A,'games played'!K:K,"xxx")</f>
        <v>3B</v>
      </c>
      <c r="I391" s="10" t="b">
        <f>_xlfn.XLOOKUP($E391,'games played'!$A:$A,'games played'!L:L,"xxx")</f>
        <v>0</v>
      </c>
    </row>
    <row r="392" spans="1:9" x14ac:dyDescent="0.2">
      <c r="A392" s="1">
        <v>392</v>
      </c>
      <c r="B392" s="1">
        <f>_xlfn.XLOOKUP($C392,mlb_ids!E:E,mlb_ids!A:A,"xxx")</f>
        <v>642215</v>
      </c>
      <c r="C392" s="11" t="s">
        <v>211</v>
      </c>
      <c r="D392" s="2" t="s">
        <v>211</v>
      </c>
      <c r="E392" s="2" t="s">
        <v>211</v>
      </c>
      <c r="F392" s="10" t="s">
        <v>2213</v>
      </c>
      <c r="G392" s="10">
        <v>2</v>
      </c>
      <c r="H392" s="10" t="str">
        <f>_xlfn.XLOOKUP($E392,'games played'!$A:$A,'games played'!K:K,"xxx")</f>
        <v>3B</v>
      </c>
      <c r="I392" s="10" t="b">
        <f>_xlfn.XLOOKUP($E392,'games played'!$A:$A,'games played'!L:L,"xxx")</f>
        <v>0</v>
      </c>
    </row>
    <row r="393" spans="1:9" x14ac:dyDescent="0.2">
      <c r="A393" s="1">
        <v>393</v>
      </c>
      <c r="B393" s="1">
        <f>_xlfn.XLOOKUP($C393,mlb_ids!E:E,mlb_ids!A:A,"xxx")</f>
        <v>691019</v>
      </c>
      <c r="C393" s="11" t="s">
        <v>432</v>
      </c>
      <c r="D393" s="2" t="s">
        <v>432</v>
      </c>
      <c r="E393" s="2" t="s">
        <v>432</v>
      </c>
      <c r="F393" s="10" t="s">
        <v>2206</v>
      </c>
      <c r="G393" s="10">
        <v>2</v>
      </c>
      <c r="H393" s="10" t="str">
        <f>_xlfn.XLOOKUP($E393,'games played'!$A:$A,'games played'!K:K,"xxx")</f>
        <v>C</v>
      </c>
      <c r="I393" s="10" t="b">
        <f>_xlfn.XLOOKUP($E393,'games played'!$A:$A,'games played'!L:L,"xxx")</f>
        <v>0</v>
      </c>
    </row>
    <row r="394" spans="1:9" x14ac:dyDescent="0.2">
      <c r="A394" s="1">
        <v>394</v>
      </c>
      <c r="B394" s="1">
        <f>_xlfn.XLOOKUP($C394,mlb_ids!E:E,mlb_ids!A:A,"xxx")</f>
        <v>686475</v>
      </c>
      <c r="C394" s="11" t="s">
        <v>212</v>
      </c>
      <c r="D394" s="2" t="s">
        <v>212</v>
      </c>
      <c r="E394" s="2" t="s">
        <v>212</v>
      </c>
      <c r="F394" s="10" t="s">
        <v>2209</v>
      </c>
      <c r="G394" s="10">
        <v>2</v>
      </c>
      <c r="H394" s="10" t="str">
        <f>_xlfn.XLOOKUP($E394,'games played'!$A:$A,'games played'!K:K,"xxx")</f>
        <v>SS</v>
      </c>
      <c r="I394" s="10" t="b">
        <f>_xlfn.XLOOKUP($E394,'games played'!$A:$A,'games played'!L:L,"xxx")</f>
        <v>0</v>
      </c>
    </row>
    <row r="395" spans="1:9" x14ac:dyDescent="0.2">
      <c r="A395" s="1">
        <v>395</v>
      </c>
      <c r="B395" s="1">
        <f>_xlfn.XLOOKUP($C395,mlb_ids!E:E,mlb_ids!A:A,"xxx")</f>
        <v>663697</v>
      </c>
      <c r="C395" s="11" t="s">
        <v>213</v>
      </c>
      <c r="D395" s="2" t="s">
        <v>213</v>
      </c>
      <c r="E395" s="2" t="s">
        <v>213</v>
      </c>
      <c r="F395" s="10" t="s">
        <v>2209</v>
      </c>
      <c r="G395" s="10">
        <v>2</v>
      </c>
      <c r="H395" s="10" t="str">
        <f>_xlfn.XLOOKUP($E395,'games played'!$A:$A,'games played'!K:K,"xxx")</f>
        <v>2B</v>
      </c>
      <c r="I395" s="10" t="b">
        <f>_xlfn.XLOOKUP($E395,'games played'!$A:$A,'games played'!L:L,"xxx")</f>
        <v>0</v>
      </c>
    </row>
    <row r="396" spans="1:9" x14ac:dyDescent="0.2">
      <c r="A396" s="1">
        <v>396</v>
      </c>
      <c r="B396" s="1">
        <f>_xlfn.XLOOKUP($C396,mlb_ids!E:E,mlb_ids!A:A,"xxx")</f>
        <v>683679</v>
      </c>
      <c r="C396" s="11" t="s">
        <v>653</v>
      </c>
      <c r="D396" s="2" t="s">
        <v>214</v>
      </c>
      <c r="E396" s="2" t="s">
        <v>653</v>
      </c>
      <c r="F396" s="10" t="s">
        <v>2221</v>
      </c>
      <c r="G396" s="10">
        <v>2</v>
      </c>
      <c r="H396" s="10" t="str">
        <f>_xlfn.XLOOKUP($E396,'games played'!$A:$A,'games played'!K:K,"xxx")</f>
        <v>C</v>
      </c>
      <c r="I396" s="10" t="b">
        <f>_xlfn.XLOOKUP($E396,'games played'!$A:$A,'games played'!L:L,"xxx")</f>
        <v>0</v>
      </c>
    </row>
    <row r="397" spans="1:9" x14ac:dyDescent="0.2">
      <c r="A397" s="1">
        <v>397</v>
      </c>
      <c r="B397" s="1">
        <f>_xlfn.XLOOKUP($C397,mlb_ids!E:E,mlb_ids!A:A,"xxx")</f>
        <v>676572</v>
      </c>
      <c r="C397" s="11" t="s">
        <v>215</v>
      </c>
      <c r="D397" s="2" t="s">
        <v>215</v>
      </c>
      <c r="E397" s="2" t="s">
        <v>215</v>
      </c>
      <c r="F397" s="10" t="s">
        <v>2219</v>
      </c>
      <c r="G397" s="10">
        <v>2</v>
      </c>
      <c r="H397" s="10" t="str">
        <f>_xlfn.XLOOKUP($E397,'games played'!$A:$A,'games played'!K:K,"xxx")</f>
        <v>1B</v>
      </c>
      <c r="I397" s="10" t="b">
        <f>_xlfn.XLOOKUP($E397,'games played'!$A:$A,'games played'!L:L,"xxx")</f>
        <v>0</v>
      </c>
    </row>
    <row r="398" spans="1:9" x14ac:dyDescent="0.2">
      <c r="A398" s="1">
        <v>398</v>
      </c>
      <c r="B398" s="1">
        <f>_xlfn.XLOOKUP($C398,mlb_ids!E:E,mlb_ids!A:A,"xxx")</f>
        <v>669398</v>
      </c>
      <c r="C398" s="11" t="s">
        <v>433</v>
      </c>
      <c r="D398" s="2" t="s">
        <v>433</v>
      </c>
      <c r="E398" s="2" t="s">
        <v>433</v>
      </c>
      <c r="F398" s="10" t="s">
        <v>2217</v>
      </c>
      <c r="G398" s="10">
        <v>2</v>
      </c>
      <c r="H398" s="10" t="str">
        <f>_xlfn.XLOOKUP($E398,'games played'!$A:$A,'games played'!K:K,"xxx")</f>
        <v>3B</v>
      </c>
      <c r="I398" s="10" t="b">
        <f>_xlfn.XLOOKUP($E398,'games played'!$A:$A,'games played'!L:L,"xxx")</f>
        <v>0</v>
      </c>
    </row>
    <row r="399" spans="1:9" x14ac:dyDescent="0.2">
      <c r="A399" s="1">
        <v>399</v>
      </c>
      <c r="B399" s="1">
        <f>_xlfn.XLOOKUP($C399,mlb_ids!E:E,mlb_ids!A:A,"xxx")</f>
        <v>664774</v>
      </c>
      <c r="C399" s="11" t="s">
        <v>434</v>
      </c>
      <c r="D399" s="2" t="s">
        <v>434</v>
      </c>
      <c r="E399" s="2" t="s">
        <v>684</v>
      </c>
      <c r="F399" s="10" t="s">
        <v>2196</v>
      </c>
      <c r="G399" s="10">
        <v>2</v>
      </c>
      <c r="H399" s="10" t="str">
        <f>_xlfn.XLOOKUP($E399,'games played'!$A:$A,'games played'!K:K,"xxx")</f>
        <v>LF</v>
      </c>
      <c r="I399" s="10" t="b">
        <f>_xlfn.XLOOKUP($E399,'games played'!$A:$A,'games played'!L:L,"xxx")</f>
        <v>0</v>
      </c>
    </row>
    <row r="400" spans="1:9" x14ac:dyDescent="0.2">
      <c r="A400" s="1">
        <v>400</v>
      </c>
      <c r="B400" s="1">
        <f>_xlfn.XLOOKUP($C400,mlb_ids!E:E,mlb_ids!A:A,"xxx")</f>
        <v>678577</v>
      </c>
      <c r="C400" s="11" t="s">
        <v>632</v>
      </c>
      <c r="D400" s="2" t="s">
        <v>216</v>
      </c>
      <c r="E400" s="2" t="s">
        <v>632</v>
      </c>
      <c r="F400" s="10" t="s">
        <v>2206</v>
      </c>
      <c r="G400" s="10">
        <v>2</v>
      </c>
      <c r="H400" s="10" t="str">
        <f>_xlfn.XLOOKUP($E400,'games played'!$A:$A,'games played'!K:K,"xxx")</f>
        <v>LF</v>
      </c>
      <c r="I400" s="10" t="b">
        <f>_xlfn.XLOOKUP($E400,'games played'!$A:$A,'games played'!L:L,"xxx")</f>
        <v>0</v>
      </c>
    </row>
    <row r="401" spans="1:9" x14ac:dyDescent="0.2">
      <c r="A401" s="1">
        <v>401</v>
      </c>
      <c r="B401" s="1">
        <f>_xlfn.XLOOKUP($C401,mlb_ids!E:E,mlb_ids!A:A,"xxx")</f>
        <v>694376</v>
      </c>
      <c r="C401" s="11" t="s">
        <v>217</v>
      </c>
      <c r="D401" s="2" t="s">
        <v>217</v>
      </c>
      <c r="E401" s="2" t="s">
        <v>217</v>
      </c>
      <c r="F401" s="10" t="s">
        <v>2196</v>
      </c>
      <c r="G401" s="10">
        <v>2</v>
      </c>
      <c r="H401" s="10" t="str">
        <f>_xlfn.XLOOKUP($E401,'games played'!$A:$A,'games played'!K:K,"xxx")</f>
        <v>3B</v>
      </c>
      <c r="I401" s="10" t="b">
        <f>_xlfn.XLOOKUP($E401,'games played'!$A:$A,'games played'!L:L,"xxx")</f>
        <v>0</v>
      </c>
    </row>
    <row r="402" spans="1:9" x14ac:dyDescent="0.2">
      <c r="A402" s="1">
        <v>402</v>
      </c>
      <c r="B402" s="1">
        <f>_xlfn.XLOOKUP($C402,mlb_ids!E:E,mlb_ids!A:A,"xxx")</f>
        <v>682729</v>
      </c>
      <c r="C402" s="11" t="s">
        <v>498</v>
      </c>
      <c r="D402" s="2" t="s">
        <v>498</v>
      </c>
      <c r="E402" s="2" t="s">
        <v>498</v>
      </c>
      <c r="F402" s="10" t="s">
        <v>2220</v>
      </c>
      <c r="G402" s="10">
        <v>2</v>
      </c>
      <c r="H402" s="10" t="str">
        <f>_xlfn.XLOOKUP($E402,'games played'!$A:$A,'games played'!K:K,"xxx")</f>
        <v>LF</v>
      </c>
      <c r="I402" s="10" t="b">
        <f>_xlfn.XLOOKUP($E402,'games played'!$A:$A,'games played'!L:L,"xxx")</f>
        <v>0</v>
      </c>
    </row>
    <row r="403" spans="1:9" x14ac:dyDescent="0.2">
      <c r="A403" s="1">
        <v>403</v>
      </c>
      <c r="B403" s="1">
        <f>_xlfn.XLOOKUP($C403,mlb_ids!E:E,mlb_ids!A:A,"xxx")</f>
        <v>680664</v>
      </c>
      <c r="C403" s="11" t="s">
        <v>218</v>
      </c>
      <c r="D403" s="2" t="s">
        <v>218</v>
      </c>
      <c r="E403" s="2" t="s">
        <v>218</v>
      </c>
      <c r="F403" s="10" t="s">
        <v>2217</v>
      </c>
      <c r="G403" s="10">
        <v>2</v>
      </c>
      <c r="H403" s="10" t="str">
        <f>_xlfn.XLOOKUP($E403,'games played'!$A:$A,'games played'!K:K,"xxx")</f>
        <v>DH</v>
      </c>
      <c r="I403" s="10" t="b">
        <f>_xlfn.XLOOKUP($E403,'games played'!$A:$A,'games played'!L:L,"xxx")</f>
        <v>0</v>
      </c>
    </row>
    <row r="404" spans="1:9" x14ac:dyDescent="0.2">
      <c r="A404" s="1">
        <v>404</v>
      </c>
      <c r="B404" s="1">
        <f>_xlfn.XLOOKUP($C404,mlb_ids!E:E,mlb_ids!A:A,"xxx")</f>
        <v>680757</v>
      </c>
      <c r="C404" s="11" t="s">
        <v>435</v>
      </c>
      <c r="D404" s="2" t="s">
        <v>435</v>
      </c>
      <c r="E404" s="2" t="s">
        <v>435</v>
      </c>
      <c r="F404" s="10" t="s">
        <v>2224</v>
      </c>
      <c r="G404" s="10">
        <v>1</v>
      </c>
      <c r="H404" s="10" t="str">
        <f>_xlfn.XLOOKUP($E404,'games played'!$A:$A,'games played'!K:K,"xxx")</f>
        <v>LF</v>
      </c>
      <c r="I404" s="10" t="b">
        <f>_xlfn.XLOOKUP($E404,'games played'!$A:$A,'games played'!L:L,"xxx")</f>
        <v>1</v>
      </c>
    </row>
    <row r="405" spans="1:9" x14ac:dyDescent="0.2">
      <c r="A405" s="1">
        <v>405</v>
      </c>
      <c r="B405" s="1">
        <f>_xlfn.XLOOKUP($C405,mlb_ids!E:E,mlb_ids!A:A,"xxx")</f>
        <v>683083</v>
      </c>
      <c r="C405" s="11" t="s">
        <v>499</v>
      </c>
      <c r="D405" s="2" t="s">
        <v>499</v>
      </c>
      <c r="E405" s="2" t="s">
        <v>627</v>
      </c>
      <c r="F405" s="10" t="s">
        <v>2195</v>
      </c>
      <c r="G405" s="10">
        <v>1</v>
      </c>
      <c r="H405" s="10" t="str">
        <f>_xlfn.XLOOKUP($E405,'games played'!$A:$A,'games played'!K:K,"xxx")</f>
        <v>2B</v>
      </c>
      <c r="I405" s="10" t="b">
        <f>_xlfn.XLOOKUP($E405,'games played'!$A:$A,'games played'!L:L,"xxx")</f>
        <v>0</v>
      </c>
    </row>
    <row r="406" spans="1:9" x14ac:dyDescent="0.2">
      <c r="A406" s="1">
        <v>406</v>
      </c>
      <c r="B406" s="1">
        <f>_xlfn.XLOOKUP($C406,mlb_ids!E:E,mlb_ids!A:A,"xxx")</f>
        <v>669707</v>
      </c>
      <c r="C406" s="11" t="s">
        <v>219</v>
      </c>
      <c r="D406" s="2" t="s">
        <v>219</v>
      </c>
      <c r="E406" s="2" t="s">
        <v>219</v>
      </c>
      <c r="F406" s="10" t="s">
        <v>2203</v>
      </c>
      <c r="G406" s="10">
        <v>1</v>
      </c>
      <c r="H406" s="10" t="str">
        <f>_xlfn.XLOOKUP($E406,'games played'!$A:$A,'games played'!K:K,"xxx")</f>
        <v>SS</v>
      </c>
      <c r="I406" s="10" t="b">
        <f>_xlfn.XLOOKUP($E406,'games played'!$A:$A,'games played'!L:L,"xxx")</f>
        <v>0</v>
      </c>
    </row>
    <row r="407" spans="1:9" x14ac:dyDescent="0.2">
      <c r="A407" s="1">
        <v>407</v>
      </c>
      <c r="B407" s="1">
        <f>_xlfn.XLOOKUP($C407,mlb_ids!E:E,mlb_ids!A:A,"xxx")</f>
        <v>696030</v>
      </c>
      <c r="C407" s="11" t="s">
        <v>436</v>
      </c>
      <c r="D407" s="2" t="s">
        <v>436</v>
      </c>
      <c r="E407" s="2" t="s">
        <v>436</v>
      </c>
      <c r="F407" s="10" t="s">
        <v>2223</v>
      </c>
      <c r="G407" s="10">
        <v>1</v>
      </c>
      <c r="H407" s="10" t="str">
        <f>_xlfn.XLOOKUP($E407,'games played'!$A:$A,'games played'!K:K,"xxx")</f>
        <v>LF</v>
      </c>
      <c r="I407" s="10" t="b">
        <f>_xlfn.XLOOKUP($E407,'games played'!$A:$A,'games played'!L:L,"xxx")</f>
        <v>0</v>
      </c>
    </row>
    <row r="408" spans="1:9" x14ac:dyDescent="0.2">
      <c r="A408" s="1">
        <v>408</v>
      </c>
      <c r="B408" s="1">
        <f>_xlfn.XLOOKUP($C408,mlb_ids!E:E,mlb_ids!A:A,"xxx")</f>
        <v>682668</v>
      </c>
      <c r="C408" s="11" t="s">
        <v>220</v>
      </c>
      <c r="D408" s="2" t="s">
        <v>220</v>
      </c>
      <c r="E408" s="2" t="s">
        <v>522</v>
      </c>
      <c r="F408" s="10" t="s">
        <v>2206</v>
      </c>
      <c r="G408" s="10">
        <v>1</v>
      </c>
      <c r="H408" s="10" t="str">
        <f>_xlfn.XLOOKUP($E408,'games played'!$A:$A,'games played'!K:K,"xxx")</f>
        <v>SS</v>
      </c>
      <c r="I408" s="10" t="b">
        <f>_xlfn.XLOOKUP($E408,'games played'!$A:$A,'games played'!L:L,"xxx")</f>
        <v>0</v>
      </c>
    </row>
    <row r="409" spans="1:9" x14ac:dyDescent="0.2">
      <c r="A409" s="1">
        <v>409</v>
      </c>
      <c r="B409" s="1">
        <f>_xlfn.XLOOKUP($C409,mlb_ids!E:E,mlb_ids!A:A,"xxx")</f>
        <v>683011</v>
      </c>
      <c r="C409" s="11" t="s">
        <v>221</v>
      </c>
      <c r="D409" s="2" t="s">
        <v>221</v>
      </c>
      <c r="E409" s="2" t="s">
        <v>221</v>
      </c>
      <c r="F409" s="10" t="s">
        <v>2198</v>
      </c>
      <c r="G409" s="10">
        <v>1</v>
      </c>
      <c r="H409" s="10" t="str">
        <f>_xlfn.XLOOKUP($E409,'games played'!$A:$A,'games played'!K:K,"xxx")</f>
        <v>SS</v>
      </c>
      <c r="I409" s="10" t="b">
        <f>_xlfn.XLOOKUP($E409,'games played'!$A:$A,'games played'!L:L,"xxx")</f>
        <v>0</v>
      </c>
    </row>
    <row r="410" spans="1:9" x14ac:dyDescent="0.2">
      <c r="A410" s="1">
        <v>410</v>
      </c>
      <c r="B410" s="1">
        <f>_xlfn.XLOOKUP($C410,mlb_ids!E:E,mlb_ids!A:A,"xxx")</f>
        <v>669701</v>
      </c>
      <c r="C410" s="11" t="s">
        <v>437</v>
      </c>
      <c r="D410" s="2" t="s">
        <v>437</v>
      </c>
      <c r="E410" s="2" t="s">
        <v>437</v>
      </c>
      <c r="F410" s="10" t="s">
        <v>2223</v>
      </c>
      <c r="G410" s="10">
        <v>1</v>
      </c>
      <c r="H410" s="10" t="str">
        <f>_xlfn.XLOOKUP($E410,'games played'!$A:$A,'games played'!K:K,"xxx")</f>
        <v>2B</v>
      </c>
      <c r="I410" s="10" t="b">
        <f>_xlfn.XLOOKUP($E410,'games played'!$A:$A,'games played'!L:L,"xxx")</f>
        <v>0</v>
      </c>
    </row>
    <row r="411" spans="1:9" x14ac:dyDescent="0.2">
      <c r="A411" s="1">
        <v>411</v>
      </c>
      <c r="B411" s="1">
        <f>_xlfn.XLOOKUP($C411,mlb_ids!E:E,mlb_ids!A:A,"xxx")</f>
        <v>669743</v>
      </c>
      <c r="C411" s="11" t="s">
        <v>222</v>
      </c>
      <c r="D411" s="2" t="s">
        <v>222</v>
      </c>
      <c r="E411" s="2" t="s">
        <v>222</v>
      </c>
      <c r="F411" s="10" t="s">
        <v>2201</v>
      </c>
      <c r="G411" s="10">
        <v>1</v>
      </c>
      <c r="H411" s="10" t="str">
        <f>_xlfn.XLOOKUP($E411,'games played'!$A:$A,'games played'!K:K,"xxx")</f>
        <v>LF</v>
      </c>
      <c r="I411" s="10" t="b">
        <f>_xlfn.XLOOKUP($E411,'games played'!$A:$A,'games played'!L:L,"xxx")</f>
        <v>0</v>
      </c>
    </row>
    <row r="412" spans="1:9" x14ac:dyDescent="0.2">
      <c r="A412" s="1">
        <v>412</v>
      </c>
      <c r="B412" s="1">
        <f>_xlfn.XLOOKUP($C412,mlb_ids!E:E,mlb_ids!A:A,"xxx")</f>
        <v>687231</v>
      </c>
      <c r="C412" s="11" t="s">
        <v>223</v>
      </c>
      <c r="D412" s="2" t="s">
        <v>223</v>
      </c>
      <c r="E412" s="2" t="s">
        <v>223</v>
      </c>
      <c r="F412" s="10" t="s">
        <v>2200</v>
      </c>
      <c r="G412" s="10">
        <v>1</v>
      </c>
      <c r="H412" s="10" t="str">
        <f>_xlfn.XLOOKUP($E412,'games played'!$A:$A,'games played'!K:K,"xxx")</f>
        <v>SS</v>
      </c>
      <c r="I412" s="10" t="b">
        <f>_xlfn.XLOOKUP($E412,'games played'!$A:$A,'games played'!L:L,"xxx")</f>
        <v>0</v>
      </c>
    </row>
    <row r="413" spans="1:9" x14ac:dyDescent="0.2">
      <c r="A413" s="1">
        <v>413</v>
      </c>
      <c r="B413" s="1">
        <f>_xlfn.XLOOKUP($C413,mlb_ids!E:E,mlb_ids!A:A,"xxx")</f>
        <v>657136</v>
      </c>
      <c r="C413" s="11" t="s">
        <v>224</v>
      </c>
      <c r="D413" s="2" t="s">
        <v>224</v>
      </c>
      <c r="E413" s="2" t="s">
        <v>224</v>
      </c>
      <c r="F413" s="10" t="s">
        <v>2216</v>
      </c>
      <c r="G413" s="10">
        <v>1</v>
      </c>
      <c r="H413" s="10" t="str">
        <f>_xlfn.XLOOKUP($E413,'games played'!$A:$A,'games played'!K:K,"xxx")</f>
        <v>C</v>
      </c>
      <c r="I413" s="10" t="b">
        <f>_xlfn.XLOOKUP($E413,'games played'!$A:$A,'games played'!L:L,"xxx")</f>
        <v>0</v>
      </c>
    </row>
    <row r="414" spans="1:9" x14ac:dyDescent="0.2">
      <c r="A414" s="1">
        <v>414</v>
      </c>
      <c r="B414" s="1">
        <f>_xlfn.XLOOKUP($C414,mlb_ids!E:E,mlb_ids!A:A,"xxx")</f>
        <v>808975</v>
      </c>
      <c r="C414" s="11" t="s">
        <v>438</v>
      </c>
      <c r="D414" s="2" t="s">
        <v>438</v>
      </c>
      <c r="E414" s="2" t="s">
        <v>438</v>
      </c>
      <c r="F414" s="10" t="s">
        <v>2201</v>
      </c>
      <c r="G414" s="10">
        <v>1</v>
      </c>
      <c r="H414" s="10" t="str">
        <f>_xlfn.XLOOKUP($E414,'games played'!$A:$A,'games played'!K:K,"xxx")</f>
        <v>SS</v>
      </c>
      <c r="I414" s="10" t="b">
        <f>_xlfn.XLOOKUP($E414,'games played'!$A:$A,'games played'!L:L,"xxx")</f>
        <v>0</v>
      </c>
    </row>
    <row r="415" spans="1:9" x14ac:dyDescent="0.2">
      <c r="A415" s="1">
        <v>415</v>
      </c>
      <c r="B415" s="1">
        <f>_xlfn.XLOOKUP($C415,mlb_ids!E:E,mlb_ids!A:A,"xxx")</f>
        <v>701350</v>
      </c>
      <c r="C415" s="11" t="s">
        <v>439</v>
      </c>
      <c r="D415" s="2" t="s">
        <v>439</v>
      </c>
      <c r="E415" s="2" t="s">
        <v>439</v>
      </c>
      <c r="F415" s="10" t="s">
        <v>2216</v>
      </c>
      <c r="G415" s="10">
        <v>1</v>
      </c>
      <c r="H415" s="10" t="str">
        <f>_xlfn.XLOOKUP($E415,'games played'!$A:$A,'games played'!K:K,"xxx")</f>
        <v>LF</v>
      </c>
      <c r="I415" s="10" t="b">
        <f>_xlfn.XLOOKUP($E415,'games played'!$A:$A,'games played'!L:L,"xxx")</f>
        <v>0</v>
      </c>
    </row>
    <row r="416" spans="1:9" x14ac:dyDescent="0.2">
      <c r="A416" s="1">
        <v>416</v>
      </c>
      <c r="B416" s="1">
        <f>_xlfn.XLOOKUP($C416,mlb_ids!E:E,mlb_ids!A:A,"xxx")</f>
        <v>670032</v>
      </c>
      <c r="C416" s="11" t="s">
        <v>440</v>
      </c>
      <c r="D416" s="2" t="s">
        <v>440</v>
      </c>
      <c r="E416" s="2" t="s">
        <v>440</v>
      </c>
      <c r="F416" s="10" t="s">
        <v>2223</v>
      </c>
      <c r="G416" s="10">
        <v>1</v>
      </c>
      <c r="H416" s="10" t="str">
        <f>_xlfn.XLOOKUP($E416,'games played'!$A:$A,'games played'!K:K,"xxx")</f>
        <v>2B</v>
      </c>
      <c r="I416" s="10" t="b">
        <f>_xlfn.XLOOKUP($E416,'games played'!$A:$A,'games played'!L:L,"xxx")</f>
        <v>0</v>
      </c>
    </row>
    <row r="417" spans="1:9" x14ac:dyDescent="0.2">
      <c r="A417" s="1">
        <v>417</v>
      </c>
      <c r="B417" s="1">
        <f>_xlfn.XLOOKUP($C417,mlb_ids!E:E,mlb_ids!A:A,"xxx")</f>
        <v>516782</v>
      </c>
      <c r="C417" s="11" t="s">
        <v>225</v>
      </c>
      <c r="D417" s="2" t="s">
        <v>225</v>
      </c>
      <c r="E417" s="2" t="s">
        <v>225</v>
      </c>
      <c r="F417" s="10" t="s">
        <v>2209</v>
      </c>
      <c r="G417" s="10">
        <v>1</v>
      </c>
      <c r="H417" s="10" t="str">
        <f>_xlfn.XLOOKUP($E417,'games played'!$A:$A,'games played'!K:K,"xxx")</f>
        <v>RF</v>
      </c>
      <c r="I417" s="10" t="b">
        <f>_xlfn.XLOOKUP($E417,'games played'!$A:$A,'games played'!L:L,"xxx")</f>
        <v>0</v>
      </c>
    </row>
    <row r="418" spans="1:9" x14ac:dyDescent="0.2">
      <c r="A418" s="1">
        <v>418</v>
      </c>
      <c r="B418" s="1">
        <f>_xlfn.XLOOKUP($C418,mlb_ids!E:E,mlb_ids!A:A,"xxx")</f>
        <v>686668</v>
      </c>
      <c r="C418" s="11" t="s">
        <v>226</v>
      </c>
      <c r="D418" s="2" t="s">
        <v>226</v>
      </c>
      <c r="E418" s="2" t="s">
        <v>226</v>
      </c>
      <c r="F418" s="10" t="s">
        <v>2214</v>
      </c>
      <c r="G418" s="10">
        <v>1</v>
      </c>
      <c r="H418" s="10" t="str">
        <f>_xlfn.XLOOKUP($E418,'games played'!$A:$A,'games played'!K:K,"xxx")</f>
        <v>CF</v>
      </c>
      <c r="I418" s="10" t="b">
        <f>_xlfn.XLOOKUP($E418,'games played'!$A:$A,'games played'!L:L,"xxx")</f>
        <v>0</v>
      </c>
    </row>
    <row r="419" spans="1:9" x14ac:dyDescent="0.2">
      <c r="A419" s="1">
        <v>419</v>
      </c>
      <c r="B419" s="1">
        <f>_xlfn.XLOOKUP($C419,mlb_ids!E:E,mlb_ids!A:A,"xxx")</f>
        <v>694388</v>
      </c>
      <c r="C419" s="11" t="s">
        <v>441</v>
      </c>
      <c r="D419" s="2" t="s">
        <v>441</v>
      </c>
      <c r="E419" s="2" t="s">
        <v>441</v>
      </c>
      <c r="F419" s="10" t="s">
        <v>2196</v>
      </c>
      <c r="G419" s="10">
        <v>1</v>
      </c>
      <c r="H419" s="10" t="str">
        <f>_xlfn.XLOOKUP($E419,'games played'!$A:$A,'games played'!K:K,"xxx")</f>
        <v>LF</v>
      </c>
      <c r="I419" s="10" t="b">
        <f>_xlfn.XLOOKUP($E419,'games played'!$A:$A,'games played'!L:L,"xxx")</f>
        <v>0</v>
      </c>
    </row>
    <row r="420" spans="1:9" x14ac:dyDescent="0.2">
      <c r="A420" s="1">
        <v>420</v>
      </c>
      <c r="B420" s="1">
        <f>_xlfn.XLOOKUP($C420,mlb_ids!E:E,mlb_ids!A:A,"xxx")</f>
        <v>672820</v>
      </c>
      <c r="C420" s="11" t="s">
        <v>227</v>
      </c>
      <c r="D420" s="2" t="s">
        <v>227</v>
      </c>
      <c r="E420" s="2" t="s">
        <v>227</v>
      </c>
      <c r="F420" s="10" t="s">
        <v>2220</v>
      </c>
      <c r="G420" s="10">
        <v>1</v>
      </c>
      <c r="H420" s="10" t="str">
        <f>_xlfn.XLOOKUP($E420,'games played'!$A:$A,'games played'!K:K,"xxx")</f>
        <v>2B</v>
      </c>
      <c r="I420" s="10" t="b">
        <f>_xlfn.XLOOKUP($E420,'games played'!$A:$A,'games played'!L:L,"xxx")</f>
        <v>0</v>
      </c>
    </row>
    <row r="421" spans="1:9" x14ac:dyDescent="0.2">
      <c r="A421" s="1">
        <v>421</v>
      </c>
      <c r="B421" s="1">
        <f>_xlfn.XLOOKUP($C421,mlb_ids!E:E,mlb_ids!A:A,"xxx")</f>
        <v>623168</v>
      </c>
      <c r="C421" s="11" t="s">
        <v>500</v>
      </c>
      <c r="D421" s="2" t="s">
        <v>500</v>
      </c>
      <c r="E421" s="2" t="s">
        <v>500</v>
      </c>
      <c r="F421" s="10" t="s">
        <v>2220</v>
      </c>
      <c r="G421" s="10">
        <v>1</v>
      </c>
      <c r="H421" s="10" t="str">
        <f>_xlfn.XLOOKUP($E421,'games played'!$A:$A,'games played'!K:K,"xxx")</f>
        <v>C</v>
      </c>
      <c r="I421" s="10" t="b">
        <f>_xlfn.XLOOKUP($E421,'games played'!$A:$A,'games played'!L:L,"xxx")</f>
        <v>0</v>
      </c>
    </row>
    <row r="422" spans="1:9" x14ac:dyDescent="0.2">
      <c r="A422" s="1">
        <v>422</v>
      </c>
      <c r="B422" s="1">
        <f>_xlfn.XLOOKUP($C422,mlb_ids!E:E,mlb_ids!A:A,"xxx")</f>
        <v>669392</v>
      </c>
      <c r="C422" s="11" t="s">
        <v>228</v>
      </c>
      <c r="D422" s="2" t="s">
        <v>228</v>
      </c>
      <c r="E422" s="2" t="s">
        <v>228</v>
      </c>
      <c r="F422" s="10" t="s">
        <v>2222</v>
      </c>
      <c r="G422" s="10">
        <v>1</v>
      </c>
      <c r="H422" s="10" t="str">
        <f>_xlfn.XLOOKUP($E422,'games played'!$A:$A,'games played'!K:K,"xxx")</f>
        <v>LF</v>
      </c>
      <c r="I422" s="10" t="b">
        <f>_xlfn.XLOOKUP($E422,'games played'!$A:$A,'games played'!L:L,"xxx")</f>
        <v>0</v>
      </c>
    </row>
    <row r="423" spans="1:9" x14ac:dyDescent="0.2">
      <c r="A423" s="1">
        <v>423</v>
      </c>
      <c r="B423" s="1">
        <f>_xlfn.XLOOKUP($C423,mlb_ids!E:E,mlb_ids!A:A,"xxx")</f>
        <v>663368</v>
      </c>
      <c r="C423" s="11" t="s">
        <v>501</v>
      </c>
      <c r="D423" s="2" t="s">
        <v>501</v>
      </c>
      <c r="E423" s="2" t="s">
        <v>501</v>
      </c>
      <c r="F423" s="10" t="s">
        <v>2204</v>
      </c>
      <c r="G423" s="10">
        <v>1</v>
      </c>
      <c r="H423" s="10" t="str">
        <f>_xlfn.XLOOKUP($E423,'games played'!$A:$A,'games played'!K:K,"xxx")</f>
        <v>CF</v>
      </c>
      <c r="I423" s="10" t="b">
        <f>_xlfn.XLOOKUP($E423,'games played'!$A:$A,'games played'!L:L,"xxx")</f>
        <v>0</v>
      </c>
    </row>
    <row r="424" spans="1:9" x14ac:dyDescent="0.2">
      <c r="A424" s="1">
        <v>424</v>
      </c>
      <c r="B424" s="1">
        <f>_xlfn.XLOOKUP($C424,mlb_ids!E:E,mlb_ids!A:A,"xxx")</f>
        <v>823550</v>
      </c>
      <c r="C424" s="11" t="s">
        <v>442</v>
      </c>
      <c r="D424" s="2" t="s">
        <v>442</v>
      </c>
      <c r="E424" s="2" t="s">
        <v>667</v>
      </c>
      <c r="F424" s="10" t="s">
        <v>2222</v>
      </c>
      <c r="G424" s="10">
        <v>1</v>
      </c>
      <c r="H424" s="10" t="str">
        <f>_xlfn.XLOOKUP($E424,'games played'!$A:$A,'games played'!K:K,"xxx")</f>
        <v>2B</v>
      </c>
      <c r="I424" s="10" t="b">
        <f>_xlfn.XLOOKUP($E424,'games played'!$A:$A,'games played'!L:L,"xxx")</f>
        <v>0</v>
      </c>
    </row>
    <row r="425" spans="1:9" x14ac:dyDescent="0.2">
      <c r="A425" s="1">
        <v>425</v>
      </c>
      <c r="B425" s="1">
        <f>_xlfn.XLOOKUP($C425,mlb_ids!E:E,mlb_ids!A:A,"xxx")</f>
        <v>669397</v>
      </c>
      <c r="C425" s="11" t="s">
        <v>229</v>
      </c>
      <c r="D425" s="2" t="s">
        <v>229</v>
      </c>
      <c r="E425" s="2" t="s">
        <v>229</v>
      </c>
      <c r="F425" s="10" t="s">
        <v>2196</v>
      </c>
      <c r="G425" s="10">
        <v>1</v>
      </c>
      <c r="H425" s="10" t="str">
        <f>_xlfn.XLOOKUP($E425,'games played'!$A:$A,'games played'!K:K,"xxx")</f>
        <v>SS</v>
      </c>
      <c r="I425" s="10" t="b">
        <f>_xlfn.XLOOKUP($E425,'games played'!$A:$A,'games played'!L:L,"xxx")</f>
        <v>0</v>
      </c>
    </row>
    <row r="426" spans="1:9" x14ac:dyDescent="0.2">
      <c r="A426" s="1">
        <v>426</v>
      </c>
      <c r="B426" s="1">
        <f>_xlfn.XLOOKUP($C426,mlb_ids!E:E,mlb_ids!A:A,"xxx")</f>
        <v>688363</v>
      </c>
      <c r="C426" s="11" t="s">
        <v>443</v>
      </c>
      <c r="D426" s="2" t="s">
        <v>443</v>
      </c>
      <c r="E426" s="2" t="s">
        <v>443</v>
      </c>
      <c r="F426" s="10" t="s">
        <v>2211</v>
      </c>
      <c r="G426" s="10">
        <v>1</v>
      </c>
      <c r="H426" s="10" t="str">
        <f>_xlfn.XLOOKUP($E426,'games played'!$A:$A,'games played'!K:K,"xxx")</f>
        <v>3B</v>
      </c>
      <c r="I426" s="10" t="b">
        <f>_xlfn.XLOOKUP($E426,'games played'!$A:$A,'games played'!L:L,"xxx")</f>
        <v>0</v>
      </c>
    </row>
    <row r="427" spans="1:9" x14ac:dyDescent="0.2">
      <c r="A427" s="1">
        <v>427</v>
      </c>
      <c r="B427" s="1">
        <f>_xlfn.XLOOKUP($C427,mlb_ids!E:E,mlb_ids!A:A,"xxx")</f>
        <v>624428</v>
      </c>
      <c r="C427" s="11" t="s">
        <v>444</v>
      </c>
      <c r="D427" s="2" t="s">
        <v>444</v>
      </c>
      <c r="E427" s="2" t="s">
        <v>444</v>
      </c>
      <c r="F427" s="10" t="s">
        <v>2210</v>
      </c>
      <c r="G427" s="10">
        <v>1</v>
      </c>
      <c r="H427" s="10" t="str">
        <f>_xlfn.XLOOKUP($E427,'games played'!$A:$A,'games played'!K:K,"xxx")</f>
        <v>2B</v>
      </c>
      <c r="I427" s="10" t="b">
        <f>_xlfn.XLOOKUP($E427,'games played'!$A:$A,'games played'!L:L,"xxx")</f>
        <v>0</v>
      </c>
    </row>
    <row r="428" spans="1:9" x14ac:dyDescent="0.2">
      <c r="A428" s="1">
        <v>428</v>
      </c>
      <c r="B428" s="1">
        <f>_xlfn.XLOOKUP($C428,mlb_ids!E:E,mlb_ids!A:A,"xxx")</f>
        <v>656976</v>
      </c>
      <c r="C428" s="11" t="s">
        <v>445</v>
      </c>
      <c r="D428" s="2" t="s">
        <v>445</v>
      </c>
      <c r="E428" s="2" t="s">
        <v>445</v>
      </c>
      <c r="F428" s="10" t="s">
        <v>2215</v>
      </c>
      <c r="G428" s="10">
        <v>1</v>
      </c>
      <c r="H428" s="10" t="str">
        <f>_xlfn.XLOOKUP($E428,'games played'!$A:$A,'games played'!K:K,"xxx")</f>
        <v>1B</v>
      </c>
      <c r="I428" s="10" t="b">
        <f>_xlfn.XLOOKUP($E428,'games played'!$A:$A,'games played'!L:L,"xxx")</f>
        <v>0</v>
      </c>
    </row>
    <row r="429" spans="1:9" x14ac:dyDescent="0.2">
      <c r="A429" s="1">
        <v>429</v>
      </c>
      <c r="B429" s="1">
        <f>_xlfn.XLOOKUP($C429,mlb_ids!E:E,mlb_ids!A:A,"xxx")</f>
        <v>687597</v>
      </c>
      <c r="C429" s="11" t="s">
        <v>230</v>
      </c>
      <c r="D429" s="2" t="s">
        <v>230</v>
      </c>
      <c r="E429" s="2" t="s">
        <v>230</v>
      </c>
      <c r="F429" s="10" t="s">
        <v>2214</v>
      </c>
      <c r="G429" s="10">
        <v>1</v>
      </c>
      <c r="H429" s="10" t="str">
        <f>_xlfn.XLOOKUP($E429,'games played'!$A:$A,'games played'!K:K,"xxx")</f>
        <v>LF</v>
      </c>
      <c r="I429" s="10" t="b">
        <f>_xlfn.XLOOKUP($E429,'games played'!$A:$A,'games played'!L:L,"xxx")</f>
        <v>0</v>
      </c>
    </row>
    <row r="430" spans="1:9" x14ac:dyDescent="0.2">
      <c r="A430" s="1">
        <v>430</v>
      </c>
      <c r="B430" s="1">
        <f>_xlfn.XLOOKUP($C430,mlb_ids!E:E,mlb_ids!A:A,"xxx")</f>
        <v>694377</v>
      </c>
      <c r="C430" s="11" t="s">
        <v>231</v>
      </c>
      <c r="D430" s="2" t="s">
        <v>231</v>
      </c>
      <c r="E430" s="2" t="s">
        <v>231</v>
      </c>
      <c r="F430" s="10" t="s">
        <v>2203</v>
      </c>
      <c r="G430" s="10">
        <v>1</v>
      </c>
      <c r="H430" s="10" t="str">
        <f>_xlfn.XLOOKUP($E430,'games played'!$A:$A,'games played'!K:K,"xxx")</f>
        <v>3B</v>
      </c>
      <c r="I430" s="10" t="b">
        <f>_xlfn.XLOOKUP($E430,'games played'!$A:$A,'games played'!L:L,"xxx")</f>
        <v>0</v>
      </c>
    </row>
    <row r="431" spans="1:9" x14ac:dyDescent="0.2">
      <c r="A431" s="1">
        <v>431</v>
      </c>
      <c r="B431" s="1">
        <f>_xlfn.XLOOKUP($C431,mlb_ids!E:E,mlb_ids!A:A,"xxx")</f>
        <v>691458</v>
      </c>
      <c r="C431" s="11" t="s">
        <v>232</v>
      </c>
      <c r="D431" s="2" t="s">
        <v>232</v>
      </c>
      <c r="E431" s="2" t="s">
        <v>232</v>
      </c>
      <c r="F431" s="10" t="s">
        <v>2199</v>
      </c>
      <c r="G431" s="10">
        <v>1</v>
      </c>
      <c r="H431" s="10" t="str">
        <f>_xlfn.XLOOKUP($E431,'games played'!$A:$A,'games played'!K:K,"xxx")</f>
        <v>3B</v>
      </c>
      <c r="I431" s="10" t="b">
        <f>_xlfn.XLOOKUP($E431,'games played'!$A:$A,'games played'!L:L,"xxx")</f>
        <v>0</v>
      </c>
    </row>
    <row r="432" spans="1:9" x14ac:dyDescent="0.2">
      <c r="A432" s="1">
        <v>432</v>
      </c>
      <c r="B432" s="1">
        <f>_xlfn.XLOOKUP($C432,mlb_ids!E:E,mlb_ids!A:A,"xxx")</f>
        <v>457705</v>
      </c>
      <c r="C432" s="11" t="s">
        <v>233</v>
      </c>
      <c r="D432" s="2" t="s">
        <v>233</v>
      </c>
      <c r="E432" s="2" t="s">
        <v>233</v>
      </c>
      <c r="F432" s="10" t="s">
        <v>2223</v>
      </c>
      <c r="G432" s="10">
        <v>1</v>
      </c>
      <c r="H432" s="10" t="str">
        <f>_xlfn.XLOOKUP($E432,'games played'!$A:$A,'games played'!K:K,"xxx")</f>
        <v>DH</v>
      </c>
      <c r="I432" s="10" t="b">
        <f>_xlfn.XLOOKUP($E432,'games played'!$A:$A,'games played'!L:L,"xxx")</f>
        <v>0</v>
      </c>
    </row>
    <row r="433" spans="1:9" x14ac:dyDescent="0.2">
      <c r="A433" s="1">
        <v>433</v>
      </c>
      <c r="B433" s="1">
        <f>_xlfn.XLOOKUP($C433,mlb_ids!E:E,mlb_ids!A:A,"xxx")</f>
        <v>695336</v>
      </c>
      <c r="C433" s="11" t="s">
        <v>234</v>
      </c>
      <c r="D433" s="2" t="s">
        <v>234</v>
      </c>
      <c r="E433" s="2" t="s">
        <v>234</v>
      </c>
      <c r="F433" s="10" t="s">
        <v>2199</v>
      </c>
      <c r="G433" s="10">
        <v>1</v>
      </c>
      <c r="H433" s="10" t="str">
        <f>_xlfn.XLOOKUP($E433,'games played'!$A:$A,'games played'!K:K,"xxx")</f>
        <v>LF</v>
      </c>
      <c r="I433" s="10" t="b">
        <f>_xlfn.XLOOKUP($E433,'games played'!$A:$A,'games played'!L:L,"xxx")</f>
        <v>0</v>
      </c>
    </row>
    <row r="434" spans="1:9" x14ac:dyDescent="0.2">
      <c r="A434" s="1">
        <v>434</v>
      </c>
      <c r="B434" s="1">
        <f>_xlfn.XLOOKUP($C434,mlb_ids!E:E,mlb_ids!A:A,"xxx")</f>
        <v>696135</v>
      </c>
      <c r="C434" s="11" t="s">
        <v>446</v>
      </c>
      <c r="D434" s="2" t="s">
        <v>446</v>
      </c>
      <c r="E434" s="2" t="s">
        <v>446</v>
      </c>
      <c r="F434" s="10" t="s">
        <v>2224</v>
      </c>
      <c r="G434" s="10">
        <v>1</v>
      </c>
      <c r="H434" s="10" t="str">
        <f>_xlfn.XLOOKUP($E434,'games played'!$A:$A,'games played'!K:K,"xxx")</f>
        <v>RF</v>
      </c>
      <c r="I434" s="10" t="b">
        <f>_xlfn.XLOOKUP($E434,'games played'!$A:$A,'games played'!L:L,"xxx")</f>
        <v>0</v>
      </c>
    </row>
    <row r="435" spans="1:9" x14ac:dyDescent="0.2">
      <c r="A435" s="1">
        <v>435</v>
      </c>
      <c r="B435" s="1">
        <f>_xlfn.XLOOKUP($C435,mlb_ids!E:E,mlb_ids!A:A,"xxx")</f>
        <v>593871</v>
      </c>
      <c r="C435" s="11" t="s">
        <v>502</v>
      </c>
      <c r="D435" s="2" t="s">
        <v>502</v>
      </c>
      <c r="E435" s="2" t="s">
        <v>502</v>
      </c>
      <c r="F435" s="10" t="s">
        <v>2219</v>
      </c>
      <c r="G435" s="10">
        <v>1</v>
      </c>
      <c r="H435" s="10" t="str">
        <f>_xlfn.XLOOKUP($E435,'games played'!$A:$A,'games played'!K:K,"xxx")</f>
        <v>DH</v>
      </c>
      <c r="I435" s="10" t="b">
        <f>_xlfn.XLOOKUP($E435,'games played'!$A:$A,'games played'!L:L,"xxx")</f>
        <v>0</v>
      </c>
    </row>
    <row r="436" spans="1:9" x14ac:dyDescent="0.2">
      <c r="A436" s="1">
        <v>436</v>
      </c>
      <c r="B436" s="1">
        <f>_xlfn.XLOOKUP($C436,mlb_ids!E:E,mlb_ids!A:A,"xxx")</f>
        <v>669242</v>
      </c>
      <c r="C436" s="11" t="s">
        <v>503</v>
      </c>
      <c r="D436" s="2" t="s">
        <v>503</v>
      </c>
      <c r="E436" s="2" t="s">
        <v>503</v>
      </c>
      <c r="F436" s="10" t="s">
        <v>2201</v>
      </c>
      <c r="G436" s="10">
        <v>1</v>
      </c>
      <c r="H436" s="10" t="str">
        <f>_xlfn.XLOOKUP($E436,'games played'!$A:$A,'games played'!K:K,"xxx")</f>
        <v>LF</v>
      </c>
      <c r="I436" s="10" t="b">
        <f>_xlfn.XLOOKUP($E436,'games played'!$A:$A,'games played'!L:L,"xxx")</f>
        <v>0</v>
      </c>
    </row>
    <row r="437" spans="1:9" x14ac:dyDescent="0.2">
      <c r="A437" s="1">
        <v>437</v>
      </c>
      <c r="B437" s="1">
        <f>_xlfn.XLOOKUP($C437,mlb_ids!E:E,mlb_ids!A:A,"xxx")</f>
        <v>624431</v>
      </c>
      <c r="C437" s="11" t="s">
        <v>235</v>
      </c>
      <c r="D437" s="2" t="s">
        <v>235</v>
      </c>
      <c r="E437" s="2" t="s">
        <v>235</v>
      </c>
      <c r="F437" s="10" t="s">
        <v>2208</v>
      </c>
      <c r="G437" s="10">
        <v>1</v>
      </c>
      <c r="H437" s="10" t="str">
        <f>_xlfn.XLOOKUP($E437,'games played'!$A:$A,'games played'!K:K,"xxx")</f>
        <v>C</v>
      </c>
      <c r="I437" s="10" t="b">
        <f>_xlfn.XLOOKUP($E437,'games played'!$A:$A,'games played'!L:L,"xxx")</f>
        <v>0</v>
      </c>
    </row>
    <row r="438" spans="1:9" x14ac:dyDescent="0.2">
      <c r="A438" s="1">
        <v>438</v>
      </c>
      <c r="B438" s="1">
        <f>_xlfn.XLOOKUP($C438,mlb_ids!E:E,mlb_ids!A:A,"xxx")</f>
        <v>672284</v>
      </c>
      <c r="C438" s="11" t="s">
        <v>447</v>
      </c>
      <c r="D438" s="2" t="s">
        <v>447</v>
      </c>
      <c r="E438" s="2" t="s">
        <v>447</v>
      </c>
      <c r="F438" s="10" t="s">
        <v>2223</v>
      </c>
      <c r="G438" s="10">
        <v>1</v>
      </c>
      <c r="H438" s="10" t="str">
        <f>_xlfn.XLOOKUP($E438,'games played'!$A:$A,'games played'!K:K,"xxx")</f>
        <v>RF</v>
      </c>
      <c r="I438" s="10" t="b">
        <f>_xlfn.XLOOKUP($E438,'games played'!$A:$A,'games played'!L:L,"xxx")</f>
        <v>0</v>
      </c>
    </row>
    <row r="439" spans="1:9" x14ac:dyDescent="0.2">
      <c r="A439" s="1">
        <v>439</v>
      </c>
      <c r="B439" s="1">
        <f>_xlfn.XLOOKUP($C439,mlb_ids!E:E,mlb_ids!A:A,"xxx")</f>
        <v>690924</v>
      </c>
      <c r="C439" s="11" t="s">
        <v>236</v>
      </c>
      <c r="D439" s="2" t="s">
        <v>236</v>
      </c>
      <c r="E439" s="2" t="s">
        <v>236</v>
      </c>
      <c r="F439" s="10" t="s">
        <v>2214</v>
      </c>
      <c r="G439" s="10">
        <v>1</v>
      </c>
      <c r="H439" s="10" t="str">
        <f>_xlfn.XLOOKUP($E439,'games played'!$A:$A,'games played'!K:K,"xxx")</f>
        <v>DH</v>
      </c>
      <c r="I439" s="10" t="b">
        <f>_xlfn.XLOOKUP($E439,'games played'!$A:$A,'games played'!L:L,"xxx")</f>
        <v>0</v>
      </c>
    </row>
    <row r="440" spans="1:9" x14ac:dyDescent="0.2">
      <c r="A440" s="1">
        <v>440</v>
      </c>
      <c r="B440" s="1">
        <f>_xlfn.XLOOKUP($C440,mlb_ids!E:E,mlb_ids!A:A,"xxx")</f>
        <v>665953</v>
      </c>
      <c r="C440" s="11" t="s">
        <v>237</v>
      </c>
      <c r="D440" s="2" t="s">
        <v>237</v>
      </c>
      <c r="E440" s="2" t="s">
        <v>545</v>
      </c>
      <c r="F440" s="10" t="s">
        <v>2195</v>
      </c>
      <c r="G440" s="10">
        <v>1</v>
      </c>
      <c r="H440" s="10" t="str">
        <f>_xlfn.XLOOKUP($E440,'games played'!$A:$A,'games played'!K:K,"xxx")</f>
        <v>1B</v>
      </c>
      <c r="I440" s="10" t="b">
        <f>_xlfn.XLOOKUP($E440,'games played'!$A:$A,'games played'!L:L,"xxx")</f>
        <v>0</v>
      </c>
    </row>
    <row r="441" spans="1:9" x14ac:dyDescent="0.2">
      <c r="A441" s="1">
        <v>441</v>
      </c>
      <c r="B441" s="1">
        <f>_xlfn.XLOOKUP($C441,mlb_ids!E:E,mlb_ids!A:A,"xxx")</f>
        <v>701305</v>
      </c>
      <c r="C441" s="11" t="s">
        <v>238</v>
      </c>
      <c r="D441" s="2" t="s">
        <v>238</v>
      </c>
      <c r="E441" s="2" t="s">
        <v>238</v>
      </c>
      <c r="F441" s="10" t="s">
        <v>2196</v>
      </c>
      <c r="G441" s="10">
        <v>1</v>
      </c>
      <c r="H441" s="10" t="str">
        <f>_xlfn.XLOOKUP($E441,'games played'!$A:$A,'games played'!K:K,"xxx")</f>
        <v>LF</v>
      </c>
      <c r="I441" s="10" t="b">
        <f>_xlfn.XLOOKUP($E441,'games played'!$A:$A,'games played'!L:L,"xxx")</f>
        <v>0</v>
      </c>
    </row>
    <row r="442" spans="1:9" x14ac:dyDescent="0.2">
      <c r="A442" s="1">
        <v>442</v>
      </c>
      <c r="B442" s="1">
        <f>_xlfn.XLOOKUP($C442,mlb_ids!E:E,mlb_ids!A:A,"xxx")</f>
        <v>699393</v>
      </c>
      <c r="C442" s="11" t="s">
        <v>504</v>
      </c>
      <c r="D442" s="2" t="s">
        <v>504</v>
      </c>
      <c r="E442" s="2" t="s">
        <v>643</v>
      </c>
      <c r="F442" s="10" t="s">
        <v>2197</v>
      </c>
      <c r="G442" s="10">
        <v>1</v>
      </c>
      <c r="H442" s="10" t="str">
        <f>_xlfn.XLOOKUP($E442,'games played'!$A:$A,'games played'!K:K,"xxx")</f>
        <v>2B</v>
      </c>
      <c r="I442" s="10" t="b">
        <f>_xlfn.XLOOKUP($E442,'games played'!$A:$A,'games played'!L:L,"xxx")</f>
        <v>0</v>
      </c>
    </row>
    <row r="443" spans="1:9" x14ac:dyDescent="0.2">
      <c r="A443" s="1">
        <v>443</v>
      </c>
      <c r="B443" s="1">
        <f>_xlfn.XLOOKUP($C443,mlb_ids!E:E,mlb_ids!A:A,"xxx")</f>
        <v>669289</v>
      </c>
      <c r="C443" s="11" t="s">
        <v>239</v>
      </c>
      <c r="D443" s="2" t="s">
        <v>239</v>
      </c>
      <c r="E443" s="2" t="s">
        <v>239</v>
      </c>
      <c r="F443" s="10" t="s">
        <v>2201</v>
      </c>
      <c r="G443" s="10">
        <v>1</v>
      </c>
      <c r="H443" s="10" t="str">
        <f>_xlfn.XLOOKUP($E443,'games played'!$A:$A,'games played'!K:K,"xxx")</f>
        <v>3B</v>
      </c>
      <c r="I443" s="10" t="b">
        <f>_xlfn.XLOOKUP($E443,'games played'!$A:$A,'games played'!L:L,"xxx")</f>
        <v>0</v>
      </c>
    </row>
    <row r="444" spans="1:9" x14ac:dyDescent="0.2">
      <c r="A444" s="1">
        <v>444</v>
      </c>
      <c r="B444" s="1">
        <f>_xlfn.XLOOKUP($C444,mlb_ids!E:E,mlb_ids!A:A,"xxx")</f>
        <v>656577</v>
      </c>
      <c r="C444" s="11" t="s">
        <v>240</v>
      </c>
      <c r="D444" s="2" t="s">
        <v>240</v>
      </c>
      <c r="E444" s="2" t="s">
        <v>240</v>
      </c>
      <c r="F444" s="10" t="s">
        <v>2218</v>
      </c>
      <c r="G444" s="10">
        <v>1</v>
      </c>
      <c r="H444" s="10" t="str">
        <f>_xlfn.XLOOKUP($E444,'games played'!$A:$A,'games played'!K:K,"xxx")</f>
        <v>C</v>
      </c>
      <c r="I444" s="10" t="b">
        <f>_xlfn.XLOOKUP($E444,'games played'!$A:$A,'games played'!L:L,"xxx")</f>
        <v>0</v>
      </c>
    </row>
    <row r="445" spans="1:9" x14ac:dyDescent="0.2">
      <c r="A445" s="1">
        <v>445</v>
      </c>
      <c r="B445" s="1">
        <f>_xlfn.XLOOKUP($C445,mlb_ids!E:E,mlb_ids!A:A,"xxx")</f>
        <v>694410</v>
      </c>
      <c r="C445" s="11" t="s">
        <v>241</v>
      </c>
      <c r="D445" s="2" t="s">
        <v>241</v>
      </c>
      <c r="E445" s="2" t="s">
        <v>241</v>
      </c>
      <c r="F445" s="10" t="s">
        <v>2215</v>
      </c>
      <c r="G445" s="10">
        <v>1</v>
      </c>
      <c r="H445" s="10" t="str">
        <f>_xlfn.XLOOKUP($E445,'games played'!$A:$A,'games played'!K:K,"xxx")</f>
        <v>1B</v>
      </c>
      <c r="I445" s="10" t="b">
        <f>_xlfn.XLOOKUP($E445,'games played'!$A:$A,'games played'!L:L,"xxx")</f>
        <v>0</v>
      </c>
    </row>
    <row r="446" spans="1:9" x14ac:dyDescent="0.2">
      <c r="A446" s="1">
        <v>446</v>
      </c>
      <c r="B446" s="1">
        <f>_xlfn.XLOOKUP($C446,mlb_ids!E:E,mlb_ids!A:A,"xxx")</f>
        <v>606115</v>
      </c>
      <c r="C446" s="11" t="s">
        <v>242</v>
      </c>
      <c r="D446" s="2" t="s">
        <v>242</v>
      </c>
      <c r="E446" s="2" t="s">
        <v>242</v>
      </c>
      <c r="F446" s="10" t="s">
        <v>2218</v>
      </c>
      <c r="G446" s="10">
        <v>1</v>
      </c>
      <c r="H446" s="10" t="str">
        <f>_xlfn.XLOOKUP($E446,'games played'!$A:$A,'games played'!K:K,"xxx")</f>
        <v>SS</v>
      </c>
      <c r="I446" s="10" t="b">
        <f>_xlfn.XLOOKUP($E446,'games played'!$A:$A,'games played'!L:L,"xxx")</f>
        <v>0</v>
      </c>
    </row>
    <row r="447" spans="1:9" x14ac:dyDescent="0.2">
      <c r="A447" s="1">
        <v>447</v>
      </c>
      <c r="B447" s="1">
        <f>_xlfn.XLOOKUP($C447,mlb_ids!E:E,mlb_ids!A:A,"xxx")</f>
        <v>677595</v>
      </c>
      <c r="C447" s="11" t="s">
        <v>505</v>
      </c>
      <c r="D447" s="2" t="s">
        <v>505</v>
      </c>
      <c r="E447" s="2" t="s">
        <v>505</v>
      </c>
      <c r="F447" s="10" t="s">
        <v>2219</v>
      </c>
      <c r="G447" s="10">
        <v>1</v>
      </c>
      <c r="H447" s="10" t="str">
        <f>_xlfn.XLOOKUP($E447,'games played'!$A:$A,'games played'!K:K,"xxx")</f>
        <v>SS</v>
      </c>
      <c r="I447" s="10" t="b">
        <f>_xlfn.XLOOKUP($E447,'games played'!$A:$A,'games played'!L:L,"xxx")</f>
        <v>0</v>
      </c>
    </row>
    <row r="448" spans="1:9" x14ac:dyDescent="0.2">
      <c r="A448" s="1">
        <v>448</v>
      </c>
      <c r="B448" s="1">
        <f>_xlfn.XLOOKUP($C448,mlb_ids!E:E,mlb_ids!A:A,"xxx")</f>
        <v>656582</v>
      </c>
      <c r="C448" s="11" t="s">
        <v>243</v>
      </c>
      <c r="D448" s="2" t="s">
        <v>243</v>
      </c>
      <c r="E448" s="2" t="s">
        <v>243</v>
      </c>
      <c r="F448" s="10" t="s">
        <v>2213</v>
      </c>
      <c r="G448" s="10">
        <v>1</v>
      </c>
      <c r="H448" s="10" t="str">
        <f>_xlfn.XLOOKUP($E448,'games played'!$A:$A,'games played'!K:K,"xxx")</f>
        <v>RF</v>
      </c>
      <c r="I448" s="10" t="b">
        <f>_xlfn.XLOOKUP($E448,'games played'!$A:$A,'games played'!L:L,"xxx")</f>
        <v>0</v>
      </c>
    </row>
    <row r="449" spans="1:9" x14ac:dyDescent="0.2">
      <c r="A449" s="1">
        <v>449</v>
      </c>
      <c r="B449" s="1">
        <f>_xlfn.XLOOKUP($C449,mlb_ids!E:E,mlb_ids!A:A,"xxx")</f>
        <v>669720</v>
      </c>
      <c r="C449" s="11" t="s">
        <v>244</v>
      </c>
      <c r="D449" s="2" t="s">
        <v>244</v>
      </c>
      <c r="E449" s="2" t="s">
        <v>244</v>
      </c>
      <c r="F449" s="10" t="s">
        <v>2206</v>
      </c>
      <c r="G449" s="10">
        <v>1</v>
      </c>
      <c r="H449" s="10" t="str">
        <f>_xlfn.XLOOKUP($E449,'games played'!$A:$A,'games played'!K:K,"xxx")</f>
        <v>LF</v>
      </c>
      <c r="I449" s="10" t="b">
        <f>_xlfn.XLOOKUP($E449,'games played'!$A:$A,'games played'!L:L,"xxx")</f>
        <v>0</v>
      </c>
    </row>
    <row r="450" spans="1:9" x14ac:dyDescent="0.2">
      <c r="A450" s="1">
        <v>450</v>
      </c>
      <c r="B450" s="1">
        <f>_xlfn.XLOOKUP($C450,mlb_ids!E:E,mlb_ids!A:A,"xxx")</f>
        <v>691783</v>
      </c>
      <c r="C450" s="11" t="s">
        <v>245</v>
      </c>
      <c r="D450" s="2" t="s">
        <v>245</v>
      </c>
      <c r="E450" s="2" t="s">
        <v>245</v>
      </c>
      <c r="F450" s="10" t="s">
        <v>2215</v>
      </c>
      <c r="G450" s="10">
        <v>1</v>
      </c>
      <c r="H450" s="10" t="str">
        <f>_xlfn.XLOOKUP($E450,'games played'!$A:$A,'games played'!K:K,"xxx")</f>
        <v>LF</v>
      </c>
      <c r="I450" s="10" t="b">
        <f>_xlfn.XLOOKUP($E450,'games played'!$A:$A,'games played'!L:L,"xxx")</f>
        <v>0</v>
      </c>
    </row>
    <row r="451" spans="1:9" x14ac:dyDescent="0.2">
      <c r="A451" s="1">
        <v>451</v>
      </c>
      <c r="B451" s="1">
        <f>_xlfn.XLOOKUP($C451,mlb_ids!E:E,mlb_ids!A:A,"xxx")</f>
        <v>621550</v>
      </c>
      <c r="C451" s="11" t="s">
        <v>246</v>
      </c>
      <c r="D451" s="2" t="s">
        <v>246</v>
      </c>
      <c r="E451" s="2" t="s">
        <v>246</v>
      </c>
      <c r="F451" s="10" t="s">
        <v>2213</v>
      </c>
      <c r="G451" s="10">
        <v>1</v>
      </c>
      <c r="H451" s="10" t="str">
        <f>_xlfn.XLOOKUP($E451,'games played'!$A:$A,'games played'!K:K,"xxx")</f>
        <v>3B</v>
      </c>
      <c r="I451" s="10" t="b">
        <f>_xlfn.XLOOKUP($E451,'games played'!$A:$A,'games played'!L:L,"xxx")</f>
        <v>0</v>
      </c>
    </row>
    <row r="452" spans="1:9" x14ac:dyDescent="0.2">
      <c r="A452" s="1">
        <v>452</v>
      </c>
      <c r="B452" s="1">
        <f>_xlfn.XLOOKUP($C452,mlb_ids!E:E,mlb_ids!A:A,"xxx")</f>
        <v>663853</v>
      </c>
      <c r="C452" s="11" t="s">
        <v>573</v>
      </c>
      <c r="D452" s="2" t="s">
        <v>247</v>
      </c>
      <c r="E452" s="2" t="s">
        <v>573</v>
      </c>
      <c r="F452" s="10" t="s">
        <v>2216</v>
      </c>
      <c r="G452" s="10">
        <v>1</v>
      </c>
      <c r="H452" s="10" t="str">
        <f>_xlfn.XLOOKUP($E452,'games played'!$A:$A,'games played'!K:K,"xxx")</f>
        <v>DH</v>
      </c>
      <c r="I452" s="10" t="b">
        <f>_xlfn.XLOOKUP($E452,'games played'!$A:$A,'games played'!L:L,"xxx")</f>
        <v>0</v>
      </c>
    </row>
    <row r="453" spans="1:9" x14ac:dyDescent="0.2">
      <c r="A453" s="1">
        <v>453</v>
      </c>
      <c r="B453" s="1">
        <f>_xlfn.XLOOKUP($C453,mlb_ids!E:E,mlb_ids!A:A,"xxx")</f>
        <v>518595</v>
      </c>
      <c r="C453" s="11" t="s">
        <v>248</v>
      </c>
      <c r="D453" s="2" t="s">
        <v>248</v>
      </c>
      <c r="E453" s="2" t="s">
        <v>248</v>
      </c>
      <c r="F453" s="10" t="s">
        <v>2210</v>
      </c>
      <c r="G453" s="10">
        <v>1</v>
      </c>
      <c r="H453" s="10" t="str">
        <f>_xlfn.XLOOKUP($E453,'games played'!$A:$A,'games played'!K:K,"xxx")</f>
        <v>C</v>
      </c>
      <c r="I453" s="10" t="b">
        <f>_xlfn.XLOOKUP($E453,'games played'!$A:$A,'games played'!L:L,"xxx")</f>
        <v>0</v>
      </c>
    </row>
    <row r="454" spans="1:9" x14ac:dyDescent="0.2">
      <c r="A454" s="1">
        <v>454</v>
      </c>
      <c r="B454" s="1">
        <f>_xlfn.XLOOKUP($C454,mlb_ids!E:E,mlb_ids!A:A,"xxx")</f>
        <v>681987</v>
      </c>
      <c r="C454" s="11" t="s">
        <v>249</v>
      </c>
      <c r="D454" s="2" t="s">
        <v>249</v>
      </c>
      <c r="E454" s="2" t="s">
        <v>249</v>
      </c>
      <c r="F454" s="10" t="s">
        <v>2216</v>
      </c>
      <c r="G454" s="10">
        <v>1</v>
      </c>
      <c r="H454" s="10" t="str">
        <f>_xlfn.XLOOKUP($E454,'games played'!$A:$A,'games played'!K:K,"xxx")</f>
        <v>LF</v>
      </c>
      <c r="I454" s="10" t="b">
        <f>_xlfn.XLOOKUP($E454,'games played'!$A:$A,'games played'!L:L,"xxx")</f>
        <v>0</v>
      </c>
    </row>
    <row r="455" spans="1:9" x14ac:dyDescent="0.2">
      <c r="A455" s="1">
        <v>455</v>
      </c>
      <c r="B455" s="1">
        <f>_xlfn.XLOOKUP($C455,mlb_ids!E:E,mlb_ids!A:A,"xxx")</f>
        <v>596146</v>
      </c>
      <c r="C455" s="11" t="s">
        <v>448</v>
      </c>
      <c r="D455" s="2" t="s">
        <v>448</v>
      </c>
      <c r="E455" s="2" t="s">
        <v>448</v>
      </c>
      <c r="F455" s="10" t="s">
        <v>2215</v>
      </c>
      <c r="G455" s="10">
        <v>1</v>
      </c>
      <c r="H455" s="10" t="str">
        <f>_xlfn.XLOOKUP($E455,'games played'!$A:$A,'games played'!K:K,"xxx")</f>
        <v>LF</v>
      </c>
      <c r="I455" s="10" t="b">
        <f>_xlfn.XLOOKUP($E455,'games played'!$A:$A,'games played'!L:L,"xxx")</f>
        <v>0</v>
      </c>
    </row>
    <row r="456" spans="1:9" x14ac:dyDescent="0.2">
      <c r="A456" s="1">
        <v>456</v>
      </c>
      <c r="B456" s="1">
        <f>_xlfn.XLOOKUP($C456,mlb_ids!E:E,mlb_ids!A:A,"xxx")</f>
        <v>694025</v>
      </c>
      <c r="C456" s="11" t="s">
        <v>644</v>
      </c>
      <c r="D456" s="2" t="s">
        <v>250</v>
      </c>
      <c r="E456" s="2" t="s">
        <v>644</v>
      </c>
      <c r="F456" s="10" t="s">
        <v>2202</v>
      </c>
      <c r="G456" s="10">
        <v>1</v>
      </c>
      <c r="H456" s="10" t="str">
        <f>_xlfn.XLOOKUP($E456,'games played'!$A:$A,'games played'!K:K,"xxx")</f>
        <v>LF</v>
      </c>
      <c r="I456" s="10" t="b">
        <f>_xlfn.XLOOKUP($E456,'games played'!$A:$A,'games played'!L:L,"xxx")</f>
        <v>0</v>
      </c>
    </row>
    <row r="457" spans="1:9" x14ac:dyDescent="0.2">
      <c r="A457" s="1">
        <v>457</v>
      </c>
      <c r="B457" s="1">
        <f>_xlfn.XLOOKUP($C457,mlb_ids!E:E,mlb_ids!A:A,"xxx")</f>
        <v>680737</v>
      </c>
      <c r="C457" s="11" t="s">
        <v>251</v>
      </c>
      <c r="D457" s="2" t="s">
        <v>251</v>
      </c>
      <c r="E457" s="2" t="s">
        <v>251</v>
      </c>
      <c r="F457" s="10" t="s">
        <v>2223</v>
      </c>
      <c r="G457" s="10">
        <v>1</v>
      </c>
      <c r="H457" s="10" t="str">
        <f>_xlfn.XLOOKUP($E457,'games played'!$A:$A,'games played'!K:K,"xxx")</f>
        <v>CF</v>
      </c>
      <c r="I457" s="10" t="b">
        <f>_xlfn.XLOOKUP($E457,'games played'!$A:$A,'games played'!L:L,"xxx")</f>
        <v>0</v>
      </c>
    </row>
    <row r="458" spans="1:9" x14ac:dyDescent="0.2">
      <c r="A458" s="1">
        <v>458</v>
      </c>
      <c r="B458" s="1">
        <f>_xlfn.XLOOKUP($C458,mlb_ids!E:E,mlb_ids!A:A,"xxx")</f>
        <v>668942</v>
      </c>
      <c r="C458" s="11" t="s">
        <v>449</v>
      </c>
      <c r="D458" s="2" t="s">
        <v>449</v>
      </c>
      <c r="E458" s="2" t="s">
        <v>449</v>
      </c>
      <c r="F458" s="10" t="s">
        <v>2209</v>
      </c>
      <c r="G458" s="10">
        <v>1</v>
      </c>
      <c r="H458" s="10" t="str">
        <f>_xlfn.XLOOKUP($E458,'games played'!$A:$A,'games played'!K:K,"xxx")</f>
        <v>3B</v>
      </c>
      <c r="I458" s="10" t="b">
        <f>_xlfn.XLOOKUP($E458,'games played'!$A:$A,'games played'!L:L,"xxx")</f>
        <v>0</v>
      </c>
    </row>
    <row r="459" spans="1:9" x14ac:dyDescent="0.2">
      <c r="A459" s="1">
        <v>459</v>
      </c>
      <c r="B459" s="1">
        <f>_xlfn.XLOOKUP($C459,mlb_ids!E:E,mlb_ids!A:A,"xxx")</f>
        <v>669384</v>
      </c>
      <c r="C459" s="11" t="s">
        <v>552</v>
      </c>
      <c r="D459" s="2" t="s">
        <v>450</v>
      </c>
      <c r="E459" s="2" t="s">
        <v>552</v>
      </c>
      <c r="F459" s="10" t="s">
        <v>2196</v>
      </c>
      <c r="G459" s="10">
        <v>1</v>
      </c>
      <c r="H459" s="10" t="str">
        <f>_xlfn.XLOOKUP($E459,'games played'!$A:$A,'games played'!K:K,"xxx")</f>
        <v>2B</v>
      </c>
      <c r="I459" s="10" t="b">
        <f>_xlfn.XLOOKUP($E459,'games played'!$A:$A,'games played'!L:L,"xxx")</f>
        <v>1</v>
      </c>
    </row>
    <row r="460" spans="1:9" x14ac:dyDescent="0.2">
      <c r="A460" s="1">
        <v>460</v>
      </c>
      <c r="B460" s="1">
        <f>_xlfn.XLOOKUP($C460,mlb_ids!E:E,mlb_ids!A:A,"xxx")</f>
        <v>695020</v>
      </c>
      <c r="C460" s="11" t="s">
        <v>252</v>
      </c>
      <c r="D460" s="2" t="s">
        <v>252</v>
      </c>
      <c r="E460" s="2" t="s">
        <v>252</v>
      </c>
      <c r="F460" s="10" t="s">
        <v>2206</v>
      </c>
      <c r="G460" s="10">
        <v>1</v>
      </c>
      <c r="H460" s="10" t="str">
        <f>_xlfn.XLOOKUP($E460,'games played'!$A:$A,'games played'!K:K,"xxx")</f>
        <v>LF</v>
      </c>
      <c r="I460" s="10" t="b">
        <f>_xlfn.XLOOKUP($E460,'games played'!$A:$A,'games played'!L:L,"xxx")</f>
        <v>0</v>
      </c>
    </row>
    <row r="461" spans="1:9" x14ac:dyDescent="0.2">
      <c r="A461" s="1">
        <v>461</v>
      </c>
      <c r="B461" s="1">
        <f>_xlfn.XLOOKUP($C461,mlb_ids!E:E,mlb_ids!A:A,"xxx")</f>
        <v>805347</v>
      </c>
      <c r="C461" s="11" t="s">
        <v>451</v>
      </c>
      <c r="D461" s="2" t="s">
        <v>451</v>
      </c>
      <c r="E461" s="2" t="s">
        <v>451</v>
      </c>
      <c r="F461" s="10" t="s">
        <v>2207</v>
      </c>
      <c r="G461" s="10">
        <v>1</v>
      </c>
      <c r="H461" s="10" t="str">
        <f>_xlfn.XLOOKUP($E461,'games played'!$A:$A,'games played'!K:K,"xxx")</f>
        <v>SS</v>
      </c>
      <c r="I461" s="10" t="b">
        <f>_xlfn.XLOOKUP($E461,'games played'!$A:$A,'games played'!L:L,"xxx")</f>
        <v>0</v>
      </c>
    </row>
    <row r="462" spans="1:9" x14ac:dyDescent="0.2">
      <c r="A462" s="1">
        <v>462</v>
      </c>
      <c r="B462" s="1">
        <f>_xlfn.XLOOKUP($C462,mlb_ids!E:E,mlb_ids!A:A,"xxx")</f>
        <v>815873</v>
      </c>
      <c r="C462" s="11" t="s">
        <v>452</v>
      </c>
      <c r="D462" s="2" t="s">
        <v>452</v>
      </c>
      <c r="E462" s="2" t="s">
        <v>452</v>
      </c>
      <c r="F462" s="10" t="s">
        <v>2220</v>
      </c>
      <c r="G462" s="10">
        <v>1</v>
      </c>
      <c r="H462" s="10" t="str">
        <f>_xlfn.XLOOKUP($E462,'games played'!$A:$A,'games played'!K:K,"xxx")</f>
        <v>DH</v>
      </c>
      <c r="I462" s="10" t="b">
        <f>_xlfn.XLOOKUP($E462,'games played'!$A:$A,'games played'!L:L,"xxx")</f>
        <v>0</v>
      </c>
    </row>
    <row r="463" spans="1:9" x14ac:dyDescent="0.2">
      <c r="A463" s="1">
        <v>463</v>
      </c>
      <c r="B463" s="1">
        <f>_xlfn.XLOOKUP($C463,mlb_ids!E:E,mlb_ids!A:A,"xxx")</f>
        <v>813841</v>
      </c>
      <c r="C463" s="11" t="s">
        <v>253</v>
      </c>
      <c r="D463" s="2" t="s">
        <v>253</v>
      </c>
      <c r="E463" s="2" t="s">
        <v>253</v>
      </c>
      <c r="F463" s="10" t="s">
        <v>2221</v>
      </c>
      <c r="G463" s="10">
        <v>1</v>
      </c>
      <c r="H463" s="10" t="str">
        <f>_xlfn.XLOOKUP($E463,'games played'!$A:$A,'games played'!K:K,"xxx")</f>
        <v>CF</v>
      </c>
      <c r="I463" s="10" t="b">
        <f>_xlfn.XLOOKUP($E463,'games played'!$A:$A,'games played'!L:L,"xxx")</f>
        <v>0</v>
      </c>
    </row>
    <row r="464" spans="1:9" x14ac:dyDescent="0.2">
      <c r="A464" s="1">
        <v>464</v>
      </c>
      <c r="B464" s="1">
        <f>_xlfn.XLOOKUP($C464,mlb_ids!E:E,mlb_ids!A:A,"xxx")</f>
        <v>649966</v>
      </c>
      <c r="C464" s="11" t="s">
        <v>254</v>
      </c>
      <c r="D464" s="2" t="s">
        <v>254</v>
      </c>
      <c r="E464" s="2" t="s">
        <v>678</v>
      </c>
      <c r="F464" s="10" t="s">
        <v>2220</v>
      </c>
      <c r="G464" s="10">
        <v>1</v>
      </c>
      <c r="H464" s="10" t="str">
        <f>_xlfn.XLOOKUP($E464,'games played'!$A:$A,'games played'!K:K,"xxx")</f>
        <v>2B</v>
      </c>
      <c r="I464" s="10" t="b">
        <f>_xlfn.XLOOKUP($E464,'games played'!$A:$A,'games played'!L:L,"xxx")</f>
        <v>0</v>
      </c>
    </row>
    <row r="465" spans="1:9" x14ac:dyDescent="0.2">
      <c r="A465" s="1">
        <v>465</v>
      </c>
      <c r="B465" s="1">
        <f>_xlfn.XLOOKUP($C465,mlb_ids!E:E,mlb_ids!A:A,"xxx")</f>
        <v>692216</v>
      </c>
      <c r="C465" s="11" t="s">
        <v>453</v>
      </c>
      <c r="D465" s="2" t="s">
        <v>453</v>
      </c>
      <c r="E465" s="2" t="s">
        <v>595</v>
      </c>
      <c r="F465" s="10" t="s">
        <v>2224</v>
      </c>
      <c r="G465" s="10">
        <v>1</v>
      </c>
      <c r="H465" s="10" t="str">
        <f>_xlfn.XLOOKUP($E465,'games played'!$A:$A,'games played'!K:K,"xxx")</f>
        <v>LF</v>
      </c>
      <c r="I465" s="10" t="b">
        <f>_xlfn.XLOOKUP($E465,'games played'!$A:$A,'games played'!L:L,"xxx")</f>
        <v>0</v>
      </c>
    </row>
    <row r="466" spans="1:9" x14ac:dyDescent="0.2">
      <c r="A466" s="1">
        <v>466</v>
      </c>
      <c r="B466" s="1">
        <f>_xlfn.XLOOKUP($C466,mlb_ids!E:E,mlb_ids!A:A,"xxx")</f>
        <v>807727</v>
      </c>
      <c r="C466" s="11" t="s">
        <v>255</v>
      </c>
      <c r="D466" s="2" t="s">
        <v>255</v>
      </c>
      <c r="E466" s="2" t="s">
        <v>255</v>
      </c>
      <c r="F466" s="10" t="s">
        <v>2220</v>
      </c>
      <c r="G466" s="10">
        <v>1</v>
      </c>
      <c r="H466" s="10" t="str">
        <f>_xlfn.XLOOKUP($E466,'games played'!$A:$A,'games played'!K:K,"xxx")</f>
        <v>1B</v>
      </c>
      <c r="I466" s="10" t="b">
        <f>_xlfn.XLOOKUP($E466,'games played'!$A:$A,'games played'!L:L,"xxx")</f>
        <v>0</v>
      </c>
    </row>
    <row r="467" spans="1:9" x14ac:dyDescent="0.2">
      <c r="A467" s="1">
        <v>467</v>
      </c>
      <c r="B467" s="1">
        <f>_xlfn.XLOOKUP($C467,mlb_ids!E:E,mlb_ids!A:A,"xxx")</f>
        <v>670231</v>
      </c>
      <c r="C467" s="11" t="s">
        <v>454</v>
      </c>
      <c r="D467" s="2" t="s">
        <v>454</v>
      </c>
      <c r="E467" s="2" t="s">
        <v>454</v>
      </c>
      <c r="F467" s="10" t="s">
        <v>2209</v>
      </c>
      <c r="G467" s="10">
        <v>1</v>
      </c>
      <c r="H467" s="10" t="str">
        <f>_xlfn.XLOOKUP($E467,'games played'!$A:$A,'games played'!K:K,"xxx")</f>
        <v>RF</v>
      </c>
      <c r="I467" s="10" t="b">
        <f>_xlfn.XLOOKUP($E467,'games played'!$A:$A,'games played'!L:L,"xxx")</f>
        <v>0</v>
      </c>
    </row>
    <row r="468" spans="1:9" x14ac:dyDescent="0.2">
      <c r="A468" s="1">
        <v>468</v>
      </c>
      <c r="B468" s="1">
        <f>_xlfn.XLOOKUP($C468,mlb_ids!E:E,mlb_ids!A:A,"xxx")</f>
        <v>605244</v>
      </c>
      <c r="C468" s="11" t="s">
        <v>256</v>
      </c>
      <c r="D468" s="2" t="s">
        <v>256</v>
      </c>
      <c r="E468" s="2" t="s">
        <v>256</v>
      </c>
      <c r="F468" s="10" t="s">
        <v>2215</v>
      </c>
      <c r="G468" s="10">
        <v>1</v>
      </c>
      <c r="H468" s="10" t="str">
        <f>_xlfn.XLOOKUP($E468,'games played'!$A:$A,'games played'!K:K,"xxx")</f>
        <v>C</v>
      </c>
      <c r="I468" s="10" t="b">
        <f>_xlfn.XLOOKUP($E468,'games played'!$A:$A,'games played'!L:L,"xxx")</f>
        <v>0</v>
      </c>
    </row>
    <row r="469" spans="1:9" x14ac:dyDescent="0.2">
      <c r="A469" s="1">
        <v>469</v>
      </c>
      <c r="B469" s="1">
        <f>_xlfn.XLOOKUP($C469,mlb_ids!E:E,mlb_ids!A:A,"xxx")</f>
        <v>663584</v>
      </c>
      <c r="C469" s="11" t="s">
        <v>257</v>
      </c>
      <c r="D469" s="2" t="s">
        <v>257</v>
      </c>
      <c r="E469" s="2" t="s">
        <v>257</v>
      </c>
      <c r="F469" s="10" t="s">
        <v>2219</v>
      </c>
      <c r="G469" s="10">
        <v>1</v>
      </c>
      <c r="H469" s="10" t="str">
        <f>_xlfn.XLOOKUP($E469,'games played'!$A:$A,'games played'!K:K,"xxx")</f>
        <v>C</v>
      </c>
      <c r="I469" s="10" t="b">
        <f>_xlfn.XLOOKUP($E469,'games played'!$A:$A,'games played'!L:L,"xxx")</f>
        <v>0</v>
      </c>
    </row>
    <row r="470" spans="1:9" x14ac:dyDescent="0.2">
      <c r="A470" s="1">
        <v>470</v>
      </c>
      <c r="B470" s="1">
        <f>_xlfn.XLOOKUP($C470,mlb_ids!E:E,mlb_ids!A:A,"xxx")</f>
        <v>804668</v>
      </c>
      <c r="C470" s="11" t="s">
        <v>2125</v>
      </c>
      <c r="D470" s="2" t="s">
        <v>258</v>
      </c>
      <c r="E470" s="2" t="s">
        <v>258</v>
      </c>
      <c r="F470" s="10" t="s">
        <v>2203</v>
      </c>
      <c r="G470" s="10">
        <v>1</v>
      </c>
      <c r="H470" s="10" t="str">
        <f>_xlfn.XLOOKUP($E470,'games played'!$A:$A,'games played'!K:K,"xxx")</f>
        <v>C</v>
      </c>
      <c r="I470" s="10" t="b">
        <f>_xlfn.XLOOKUP($E470,'games played'!$A:$A,'games played'!L:L,"xxx")</f>
        <v>0</v>
      </c>
    </row>
    <row r="471" spans="1:9" x14ac:dyDescent="0.2">
      <c r="A471" s="1">
        <v>471</v>
      </c>
      <c r="B471" s="1">
        <f>_xlfn.XLOOKUP($C471,mlb_ids!E:E,mlb_ids!A:A,"xxx")</f>
        <v>642133</v>
      </c>
      <c r="C471" s="11" t="s">
        <v>455</v>
      </c>
      <c r="D471" s="2" t="s">
        <v>455</v>
      </c>
      <c r="E471" s="2" t="s">
        <v>455</v>
      </c>
      <c r="F471" s="10" t="s">
        <v>2207</v>
      </c>
      <c r="G471" s="10">
        <v>1</v>
      </c>
      <c r="H471" s="10" t="str">
        <f>_xlfn.XLOOKUP($E471,'games played'!$A:$A,'games played'!K:K,"xxx")</f>
        <v>1B</v>
      </c>
      <c r="I471" s="10" t="b">
        <f>_xlfn.XLOOKUP($E471,'games played'!$A:$A,'games played'!L:L,"xxx")</f>
        <v>0</v>
      </c>
    </row>
    <row r="472" spans="1:9" x14ac:dyDescent="0.2">
      <c r="A472" s="1">
        <v>472</v>
      </c>
      <c r="B472" s="1">
        <f>_xlfn.XLOOKUP($C472,mlb_ids!E:E,mlb_ids!A:A,"xxx")</f>
        <v>571912</v>
      </c>
      <c r="C472" s="11" t="s">
        <v>259</v>
      </c>
      <c r="D472" s="2" t="s">
        <v>259</v>
      </c>
      <c r="E472" s="2" t="s">
        <v>259</v>
      </c>
      <c r="F472" s="10" t="s">
        <v>2209</v>
      </c>
      <c r="G472" s="10">
        <v>1</v>
      </c>
      <c r="H472" s="10" t="str">
        <f>_xlfn.XLOOKUP($E472,'games played'!$A:$A,'games played'!K:K,"xxx")</f>
        <v>C</v>
      </c>
      <c r="I472" s="10" t="b">
        <f>_xlfn.XLOOKUP($E472,'games played'!$A:$A,'games played'!L:L,"xxx")</f>
        <v>0</v>
      </c>
    </row>
    <row r="473" spans="1:9" x14ac:dyDescent="0.2">
      <c r="A473" s="1">
        <v>473</v>
      </c>
      <c r="B473" s="1">
        <f>_xlfn.XLOOKUP($C473,mlb_ids!E:E,mlb_ids!A:A,"xxx")</f>
        <v>669717</v>
      </c>
      <c r="C473" s="11" t="s">
        <v>260</v>
      </c>
      <c r="D473" s="2" t="s">
        <v>260</v>
      </c>
      <c r="E473" s="2" t="s">
        <v>260</v>
      </c>
      <c r="F473" s="10" t="s">
        <v>2213</v>
      </c>
      <c r="G473" s="10">
        <v>1</v>
      </c>
      <c r="H473" s="10" t="str">
        <f>_xlfn.XLOOKUP($E473,'games played'!$A:$A,'games played'!K:K,"xxx")</f>
        <v>3B</v>
      </c>
      <c r="I473" s="10" t="b">
        <f>_xlfn.XLOOKUP($E473,'games played'!$A:$A,'games played'!L:L,"xxx")</f>
        <v>0</v>
      </c>
    </row>
    <row r="474" spans="1:9" x14ac:dyDescent="0.2">
      <c r="A474" s="1">
        <v>474</v>
      </c>
      <c r="B474" s="1">
        <f>_xlfn.XLOOKUP($C474,mlb_ids!E:E,mlb_ids!A:A,"xxx")</f>
        <v>571771</v>
      </c>
      <c r="C474" s="11" t="s">
        <v>2126</v>
      </c>
      <c r="D474" s="2" t="s">
        <v>261</v>
      </c>
      <c r="E474" s="2" t="s">
        <v>578</v>
      </c>
      <c r="F474" s="10" t="s">
        <v>2201</v>
      </c>
      <c r="G474" s="10">
        <v>1</v>
      </c>
      <c r="H474" s="10" t="str">
        <f>_xlfn.XLOOKUP($E474,'games played'!$A:$A,'games played'!K:K,"xxx")</f>
        <v>3B</v>
      </c>
      <c r="I474" s="10" t="b">
        <f>_xlfn.XLOOKUP($E474,'games played'!$A:$A,'games played'!L:L,"xxx")</f>
        <v>0</v>
      </c>
    </row>
    <row r="475" spans="1:9" x14ac:dyDescent="0.2">
      <c r="A475" s="1">
        <v>475</v>
      </c>
      <c r="B475" s="1">
        <f>_xlfn.XLOOKUP($C475,mlb_ids!E:E,mlb_ids!A:A,"xxx")</f>
        <v>802415</v>
      </c>
      <c r="C475" s="11" t="s">
        <v>456</v>
      </c>
      <c r="D475" s="2" t="s">
        <v>456</v>
      </c>
      <c r="E475" s="2" t="s">
        <v>456</v>
      </c>
      <c r="F475" s="10" t="s">
        <v>2205</v>
      </c>
      <c r="G475" s="10">
        <v>0</v>
      </c>
      <c r="H475" s="10" t="str">
        <f>_xlfn.XLOOKUP($E475,'games played'!$A:$A,'games played'!K:K,"xxx")</f>
        <v>LF</v>
      </c>
      <c r="I475" s="10" t="b">
        <f>_xlfn.XLOOKUP($E475,'games played'!$A:$A,'games played'!L:L,"xxx")</f>
        <v>0</v>
      </c>
    </row>
    <row r="476" spans="1:9" x14ac:dyDescent="0.2">
      <c r="A476" s="1">
        <v>476</v>
      </c>
      <c r="B476" s="1">
        <f>_xlfn.XLOOKUP($C476,mlb_ids!E:E,mlb_ids!A:A,"xxx")</f>
        <v>670764</v>
      </c>
      <c r="C476" s="11" t="s">
        <v>506</v>
      </c>
      <c r="D476" s="2" t="s">
        <v>506</v>
      </c>
      <c r="E476" s="2" t="s">
        <v>506</v>
      </c>
      <c r="F476" s="10" t="s">
        <v>2205</v>
      </c>
      <c r="G476" s="10">
        <v>0</v>
      </c>
      <c r="H476" s="10" t="str">
        <f>_xlfn.XLOOKUP($E476,'games played'!$A:$A,'games played'!K:K,"xxx")</f>
        <v>SS</v>
      </c>
      <c r="I476" s="10" t="b">
        <f>_xlfn.XLOOKUP($E476,'games played'!$A:$A,'games played'!L:L,"xxx")</f>
        <v>0</v>
      </c>
    </row>
    <row r="477" spans="1:9" x14ac:dyDescent="0.2">
      <c r="A477" s="1">
        <v>477</v>
      </c>
      <c r="B477" s="1">
        <f>_xlfn.XLOOKUP($C477,mlb_ids!E:E,mlb_ids!A:A,"xxx")</f>
        <v>650859</v>
      </c>
      <c r="C477" s="11" t="s">
        <v>507</v>
      </c>
      <c r="D477" s="2" t="s">
        <v>507</v>
      </c>
      <c r="E477" s="2" t="s">
        <v>507</v>
      </c>
      <c r="F477" s="10" t="s">
        <v>2222</v>
      </c>
      <c r="G477" s="10">
        <v>0</v>
      </c>
      <c r="H477" s="10" t="str">
        <f>_xlfn.XLOOKUP($E477,'games played'!$A:$A,'games played'!K:K,"xxx")</f>
        <v>3B</v>
      </c>
      <c r="I477" s="10" t="b">
        <f>_xlfn.XLOOKUP($E477,'games played'!$A:$A,'games played'!L:L,"xxx")</f>
        <v>0</v>
      </c>
    </row>
    <row r="478" spans="1:9" x14ac:dyDescent="0.2">
      <c r="A478" s="1">
        <v>478</v>
      </c>
      <c r="B478" s="1">
        <f>_xlfn.XLOOKUP($C478,mlb_ids!E:E,mlb_ids!A:A,"xxx")</f>
        <v>814439</v>
      </c>
      <c r="C478" s="11" t="s">
        <v>262</v>
      </c>
      <c r="D478" s="2" t="s">
        <v>262</v>
      </c>
      <c r="E478" s="2" t="s">
        <v>262</v>
      </c>
      <c r="F478" s="10" t="s">
        <v>2215</v>
      </c>
      <c r="G478" s="10">
        <v>0</v>
      </c>
      <c r="H478" s="10" t="str">
        <f>_xlfn.XLOOKUP($E478,'games played'!$A:$A,'games played'!K:K,"xxx")</f>
        <v>CF</v>
      </c>
      <c r="I478" s="10" t="b">
        <f>_xlfn.XLOOKUP($E478,'games played'!$A:$A,'games played'!L:L,"xxx")</f>
        <v>0</v>
      </c>
    </row>
    <row r="479" spans="1:9" x14ac:dyDescent="0.2">
      <c r="A479" s="1">
        <v>479</v>
      </c>
      <c r="B479" s="1">
        <f>_xlfn.XLOOKUP($C479,mlb_ids!E:E,mlb_ids!A:A,"xxx")</f>
        <v>660844</v>
      </c>
      <c r="C479" s="11" t="s">
        <v>508</v>
      </c>
      <c r="D479" s="2" t="s">
        <v>508</v>
      </c>
      <c r="E479" s="2" t="s">
        <v>508</v>
      </c>
      <c r="F479" s="10" t="s">
        <v>2213</v>
      </c>
      <c r="G479" s="10">
        <v>0</v>
      </c>
      <c r="H479" s="10" t="str">
        <f>_xlfn.XLOOKUP($E479,'games played'!$A:$A,'games played'!K:K,"xxx")</f>
        <v>3B</v>
      </c>
      <c r="I479" s="10" t="b">
        <f>_xlfn.XLOOKUP($E479,'games played'!$A:$A,'games played'!L:L,"xxx")</f>
        <v>0</v>
      </c>
    </row>
    <row r="480" spans="1:9" x14ac:dyDescent="0.2">
      <c r="A480" s="1">
        <v>480</v>
      </c>
      <c r="B480" s="1">
        <f>_xlfn.XLOOKUP($C480,mlb_ids!E:E,mlb_ids!A:A,"xxx")</f>
        <v>681508</v>
      </c>
      <c r="C480" s="11" t="s">
        <v>509</v>
      </c>
      <c r="D480" s="2" t="s">
        <v>509</v>
      </c>
      <c r="E480" s="2" t="s">
        <v>509</v>
      </c>
      <c r="F480" s="10" t="s">
        <v>2216</v>
      </c>
      <c r="G480" s="10">
        <v>0</v>
      </c>
      <c r="H480" s="10" t="str">
        <f>_xlfn.XLOOKUP($E480,'games played'!$A:$A,'games played'!K:K,"xxx")</f>
        <v>C</v>
      </c>
      <c r="I480" s="10" t="b">
        <f>_xlfn.XLOOKUP($E480,'games played'!$A:$A,'games played'!L:L,"xxx")</f>
        <v>1</v>
      </c>
    </row>
    <row r="481" spans="1:9" x14ac:dyDescent="0.2">
      <c r="A481" s="1">
        <v>481</v>
      </c>
      <c r="B481" s="1">
        <f>_xlfn.XLOOKUP($C481,mlb_ids!E:E,mlb_ids!A:A,"xxx")</f>
        <v>691740</v>
      </c>
      <c r="C481" s="11" t="s">
        <v>263</v>
      </c>
      <c r="D481" s="2" t="s">
        <v>263</v>
      </c>
      <c r="E481" s="2" t="s">
        <v>263</v>
      </c>
      <c r="F481" s="10" t="s">
        <v>2221</v>
      </c>
      <c r="G481" s="10">
        <v>0</v>
      </c>
      <c r="H481" s="10" t="str">
        <f>_xlfn.XLOOKUP($E481,'games played'!$A:$A,'games played'!K:K,"xxx")</f>
        <v>C</v>
      </c>
      <c r="I481" s="10" t="b">
        <f>_xlfn.XLOOKUP($E481,'games played'!$A:$A,'games played'!L:L,"xxx")</f>
        <v>0</v>
      </c>
    </row>
    <row r="482" spans="1:9" x14ac:dyDescent="0.2">
      <c r="A482" s="1">
        <v>482</v>
      </c>
      <c r="B482" s="1">
        <f>_xlfn.XLOOKUP($C482,mlb_ids!E:E,mlb_ids!A:A,"xxx")</f>
        <v>695490</v>
      </c>
      <c r="C482" s="11" t="s">
        <v>510</v>
      </c>
      <c r="D482" s="2" t="s">
        <v>510</v>
      </c>
      <c r="E482" s="2" t="s">
        <v>510</v>
      </c>
      <c r="F482" s="10" t="s">
        <v>2208</v>
      </c>
      <c r="G482" s="10">
        <v>0</v>
      </c>
      <c r="H482" s="10" t="str">
        <f>_xlfn.XLOOKUP($E482,'games played'!$A:$A,'games played'!K:K,"xxx")</f>
        <v>2B</v>
      </c>
      <c r="I482" s="10" t="b">
        <f>_xlfn.XLOOKUP($E482,'games played'!$A:$A,'games played'!L:L,"xxx")</f>
        <v>0</v>
      </c>
    </row>
    <row r="483" spans="1:9" x14ac:dyDescent="0.2">
      <c r="A483" s="1">
        <v>483</v>
      </c>
      <c r="B483" s="1">
        <f>_xlfn.XLOOKUP($C483,mlb_ids!E:E,mlb_ids!A:A,"xxx")</f>
        <v>645302</v>
      </c>
      <c r="C483" s="11" t="s">
        <v>650</v>
      </c>
      <c r="D483" s="2" t="s">
        <v>264</v>
      </c>
      <c r="E483" s="2" t="s">
        <v>650</v>
      </c>
      <c r="F483" s="10" t="s">
        <v>2213</v>
      </c>
      <c r="G483" s="10">
        <v>0</v>
      </c>
      <c r="H483" s="10" t="str">
        <f>_xlfn.XLOOKUP($E483,'games played'!$A:$A,'games played'!K:K,"xxx")</f>
        <v>RF</v>
      </c>
      <c r="I483" s="10" t="b">
        <f>_xlfn.XLOOKUP($E483,'games played'!$A:$A,'games played'!L:L,"xxx")</f>
        <v>0</v>
      </c>
    </row>
    <row r="484" spans="1:9" x14ac:dyDescent="0.2">
      <c r="A484" s="1">
        <v>484</v>
      </c>
      <c r="B484" s="1">
        <f>_xlfn.XLOOKUP($C484,mlb_ids!E:E,mlb_ids!A:A,"xxx")</f>
        <v>663604</v>
      </c>
      <c r="C484" s="11" t="s">
        <v>265</v>
      </c>
      <c r="D484" s="2" t="s">
        <v>265</v>
      </c>
      <c r="E484" s="2" t="s">
        <v>265</v>
      </c>
      <c r="F484" s="10" t="s">
        <v>2204</v>
      </c>
      <c r="G484" s="10">
        <v>0</v>
      </c>
      <c r="H484" s="10" t="str">
        <f>_xlfn.XLOOKUP($E484,'games played'!$A:$A,'games played'!K:K,"xxx")</f>
        <v>LF</v>
      </c>
      <c r="I484" s="10" t="b">
        <f>_xlfn.XLOOKUP($E484,'games played'!$A:$A,'games played'!L:L,"xxx")</f>
        <v>0</v>
      </c>
    </row>
    <row r="485" spans="1:9" x14ac:dyDescent="0.2">
      <c r="A485" s="1">
        <v>485</v>
      </c>
      <c r="B485" s="1">
        <f>_xlfn.XLOOKUP($C485,mlb_ids!E:E,mlb_ids!A:A,"xxx")</f>
        <v>641555</v>
      </c>
      <c r="C485" s="11" t="s">
        <v>457</v>
      </c>
      <c r="D485" s="2" t="s">
        <v>457</v>
      </c>
      <c r="E485" s="2" t="s">
        <v>457</v>
      </c>
      <c r="F485" s="10" t="s">
        <v>2198</v>
      </c>
      <c r="G485" s="10">
        <v>0</v>
      </c>
      <c r="H485" s="10" t="str">
        <f>_xlfn.XLOOKUP($E485,'games played'!$A:$A,'games played'!K:K,"xxx")</f>
        <v>C</v>
      </c>
      <c r="I485" s="10" t="b">
        <f>_xlfn.XLOOKUP($E485,'games played'!$A:$A,'games played'!L:L,"xxx")</f>
        <v>0</v>
      </c>
    </row>
    <row r="486" spans="1:9" x14ac:dyDescent="0.2">
      <c r="A486" s="1">
        <v>486</v>
      </c>
      <c r="B486" s="1">
        <f>_xlfn.XLOOKUP($C486,mlb_ids!E:E,mlb_ids!A:A,"xxx")</f>
        <v>806198</v>
      </c>
      <c r="C486" s="11" t="s">
        <v>266</v>
      </c>
      <c r="D486" s="2" t="s">
        <v>266</v>
      </c>
      <c r="E486" s="2" t="s">
        <v>266</v>
      </c>
      <c r="F486" s="10" t="s">
        <v>2204</v>
      </c>
      <c r="G486" s="10">
        <v>0</v>
      </c>
      <c r="H486" s="10" t="str">
        <f>_xlfn.XLOOKUP($E486,'games played'!$A:$A,'games played'!K:K,"xxx")</f>
        <v>SS</v>
      </c>
      <c r="I486" s="10" t="b">
        <f>_xlfn.XLOOKUP($E486,'games played'!$A:$A,'games played'!L:L,"xxx")</f>
        <v>0</v>
      </c>
    </row>
    <row r="487" spans="1:9" x14ac:dyDescent="0.2">
      <c r="A487" s="1">
        <v>487</v>
      </c>
      <c r="B487" s="1">
        <f>_xlfn.XLOOKUP($C487,mlb_ids!E:E,mlb_ids!A:A,"xxx")</f>
        <v>673490</v>
      </c>
      <c r="C487" s="11" t="s">
        <v>267</v>
      </c>
      <c r="D487" s="2" t="s">
        <v>267</v>
      </c>
      <c r="E487" s="2" t="s">
        <v>267</v>
      </c>
      <c r="F487" s="10" t="s">
        <v>2207</v>
      </c>
      <c r="G487" s="10">
        <v>0</v>
      </c>
      <c r="H487" s="10" t="str">
        <f>_xlfn.XLOOKUP($E487,'games played'!$A:$A,'games played'!K:K,"xxx")</f>
        <v>SS</v>
      </c>
      <c r="I487" s="10" t="b">
        <f>_xlfn.XLOOKUP($E487,'games played'!$A:$A,'games played'!L:L,"xxx")</f>
        <v>0</v>
      </c>
    </row>
    <row r="488" spans="1:9" x14ac:dyDescent="0.2">
      <c r="A488" s="1">
        <v>488</v>
      </c>
      <c r="B488" s="1">
        <f>_xlfn.XLOOKUP($C488,mlb_ids!E:E,mlb_ids!A:A,"xxx")</f>
        <v>596103</v>
      </c>
      <c r="C488" s="11" t="s">
        <v>268</v>
      </c>
      <c r="D488" s="2" t="s">
        <v>268</v>
      </c>
      <c r="E488" s="2" t="s">
        <v>268</v>
      </c>
      <c r="F488" s="10" t="s">
        <v>2205</v>
      </c>
      <c r="G488" s="10">
        <v>0</v>
      </c>
      <c r="H488" s="10" t="str">
        <f>_xlfn.XLOOKUP($E488,'games played'!$A:$A,'games played'!K:K,"xxx")</f>
        <v>RF</v>
      </c>
      <c r="I488" s="10" t="b">
        <f>_xlfn.XLOOKUP($E488,'games played'!$A:$A,'games played'!L:L,"xxx")</f>
        <v>0</v>
      </c>
    </row>
    <row r="489" spans="1:9" x14ac:dyDescent="0.2">
      <c r="A489" s="1">
        <v>489</v>
      </c>
      <c r="B489" s="1">
        <f>_xlfn.XLOOKUP($C489,mlb_ids!E:E,mlb_ids!A:A,"xxx")</f>
        <v>666624</v>
      </c>
      <c r="C489" s="11" t="s">
        <v>269</v>
      </c>
      <c r="D489" s="2" t="s">
        <v>269</v>
      </c>
      <c r="E489" s="2" t="s">
        <v>269</v>
      </c>
      <c r="F489" s="10" t="s">
        <v>2211</v>
      </c>
      <c r="G489" s="10">
        <v>0</v>
      </c>
      <c r="H489" s="10" t="str">
        <f>_xlfn.XLOOKUP($E489,'games played'!$A:$A,'games played'!K:K,"xxx")</f>
        <v>1B</v>
      </c>
      <c r="I489" s="10" t="b">
        <f>_xlfn.XLOOKUP($E489,'games played'!$A:$A,'games played'!L:L,"xxx")</f>
        <v>0</v>
      </c>
    </row>
    <row r="490" spans="1:9" x14ac:dyDescent="0.2">
      <c r="A490" s="1">
        <v>490</v>
      </c>
      <c r="B490" s="1">
        <f>_xlfn.XLOOKUP($C490,mlb_ids!E:E,mlb_ids!A:A,"xxx")</f>
        <v>690984</v>
      </c>
      <c r="C490" s="11" t="s">
        <v>458</v>
      </c>
      <c r="D490" s="2" t="s">
        <v>458</v>
      </c>
      <c r="E490" s="2" t="s">
        <v>458</v>
      </c>
      <c r="F490" s="10" t="s">
        <v>2224</v>
      </c>
      <c r="G490" s="10">
        <v>0</v>
      </c>
      <c r="H490" s="10" t="str">
        <f>_xlfn.XLOOKUP($E490,'games played'!$A:$A,'games played'!K:K,"xxx")</f>
        <v>CF</v>
      </c>
      <c r="I490" s="10" t="b">
        <f>_xlfn.XLOOKUP($E490,'games played'!$A:$A,'games played'!L:L,"xxx")</f>
        <v>0</v>
      </c>
    </row>
    <row r="491" spans="1:9" x14ac:dyDescent="0.2">
      <c r="A491" s="1">
        <v>491</v>
      </c>
      <c r="B491" s="1">
        <f>_xlfn.XLOOKUP($C491,mlb_ids!E:E,mlb_ids!A:A,"xxx")</f>
        <v>670097</v>
      </c>
      <c r="C491" s="11" t="s">
        <v>270</v>
      </c>
      <c r="D491" s="2" t="s">
        <v>270</v>
      </c>
      <c r="E491" s="2" t="s">
        <v>270</v>
      </c>
      <c r="F491" s="10" t="s">
        <v>2219</v>
      </c>
      <c r="G491" s="10">
        <v>0</v>
      </c>
      <c r="H491" s="10" t="str">
        <f>_xlfn.XLOOKUP($E491,'games played'!$A:$A,'games played'!K:K,"xxx")</f>
        <v>SS</v>
      </c>
      <c r="I491" s="10" t="b">
        <f>_xlfn.XLOOKUP($E491,'games played'!$A:$A,'games played'!L:L,"xxx")</f>
        <v>0</v>
      </c>
    </row>
    <row r="492" spans="1:9" x14ac:dyDescent="0.2">
      <c r="A492" s="1">
        <v>492</v>
      </c>
      <c r="B492" s="1">
        <f>_xlfn.XLOOKUP($C492,mlb_ids!E:E,mlb_ids!A:A,"xxx")</f>
        <v>672016</v>
      </c>
      <c r="C492" s="11" t="s">
        <v>271</v>
      </c>
      <c r="D492" s="2" t="s">
        <v>271</v>
      </c>
      <c r="E492" s="2" t="s">
        <v>271</v>
      </c>
      <c r="F492" s="10" t="s">
        <v>2200</v>
      </c>
      <c r="G492" s="10">
        <v>0</v>
      </c>
      <c r="H492" s="10" t="str">
        <f>_xlfn.XLOOKUP($E492,'games played'!$A:$A,'games played'!K:K,"xxx")</f>
        <v>CF</v>
      </c>
      <c r="I492" s="10" t="b">
        <f>_xlfn.XLOOKUP($E492,'games played'!$A:$A,'games played'!L:L,"xxx")</f>
        <v>0</v>
      </c>
    </row>
    <row r="493" spans="1:9" x14ac:dyDescent="0.2">
      <c r="A493" s="1">
        <v>493</v>
      </c>
      <c r="B493" s="1">
        <f>_xlfn.XLOOKUP($C493,mlb_ids!E:E,mlb_ids!A:A,"xxx")</f>
        <v>665861</v>
      </c>
      <c r="C493" s="11" t="s">
        <v>272</v>
      </c>
      <c r="D493" s="2" t="s">
        <v>272</v>
      </c>
      <c r="E493" s="2" t="s">
        <v>647</v>
      </c>
      <c r="F493" s="10" t="s">
        <v>2210</v>
      </c>
      <c r="G493" s="10">
        <v>0</v>
      </c>
      <c r="H493" s="10" t="str">
        <f>_xlfn.XLOOKUP($E493,'games played'!$A:$A,'games played'!K:K,"xxx")</f>
        <v>C</v>
      </c>
      <c r="I493" s="10" t="b">
        <f>_xlfn.XLOOKUP($E493,'games played'!$A:$A,'games played'!L:L,"xxx")</f>
        <v>0</v>
      </c>
    </row>
    <row r="494" spans="1:9" x14ac:dyDescent="0.2">
      <c r="A494" s="1">
        <v>494</v>
      </c>
      <c r="B494" s="1">
        <f>_xlfn.XLOOKUP($C494,mlb_ids!E:E,mlb_ids!A:A,"xxx")</f>
        <v>642851</v>
      </c>
      <c r="C494" s="11" t="s">
        <v>273</v>
      </c>
      <c r="D494" s="2" t="s">
        <v>273</v>
      </c>
      <c r="E494" s="2" t="s">
        <v>273</v>
      </c>
      <c r="F494" s="10" t="s">
        <v>2207</v>
      </c>
      <c r="G494" s="10">
        <v>0</v>
      </c>
      <c r="H494" s="10" t="str">
        <f>_xlfn.XLOOKUP($E494,'games played'!$A:$A,'games played'!K:K,"xxx")</f>
        <v>C</v>
      </c>
      <c r="I494" s="10" t="b">
        <f>_xlfn.XLOOKUP($E494,'games played'!$A:$A,'games played'!L:L,"xxx")</f>
        <v>0</v>
      </c>
    </row>
    <row r="495" spans="1:9" x14ac:dyDescent="0.2">
      <c r="A495" s="1">
        <v>495</v>
      </c>
      <c r="B495" s="1">
        <f>_xlfn.XLOOKUP($C495,mlb_ids!E:E,mlb_ids!A:A,"xxx")</f>
        <v>682877</v>
      </c>
      <c r="C495" s="11" t="s">
        <v>511</v>
      </c>
      <c r="D495" s="2" t="s">
        <v>511</v>
      </c>
      <c r="E495" s="2" t="s">
        <v>511</v>
      </c>
      <c r="F495" s="10" t="s">
        <v>2224</v>
      </c>
      <c r="G495" s="10">
        <v>0</v>
      </c>
      <c r="H495" s="10" t="str">
        <f>_xlfn.XLOOKUP($E495,'games played'!$A:$A,'games played'!K:K,"xxx")</f>
        <v>2B</v>
      </c>
      <c r="I495" s="10" t="b">
        <f>_xlfn.XLOOKUP($E495,'games played'!$A:$A,'games played'!L:L,"xxx")</f>
        <v>0</v>
      </c>
    </row>
    <row r="496" spans="1:9" x14ac:dyDescent="0.2">
      <c r="A496" s="1">
        <v>496</v>
      </c>
      <c r="B496" s="1">
        <f>_xlfn.XLOOKUP($C496,mlb_ids!E:E,mlb_ids!A:A,"xxx")</f>
        <v>663611</v>
      </c>
      <c r="C496" s="11" t="s">
        <v>274</v>
      </c>
      <c r="D496" s="2" t="s">
        <v>274</v>
      </c>
      <c r="E496" s="2" t="s">
        <v>274</v>
      </c>
      <c r="F496" s="10" t="s">
        <v>2210</v>
      </c>
      <c r="G496" s="10">
        <v>0</v>
      </c>
      <c r="H496" s="10" t="str">
        <f>_xlfn.XLOOKUP($E496,'games played'!$A:$A,'games played'!K:K,"xxx")</f>
        <v>2B</v>
      </c>
      <c r="I496" s="10" t="b">
        <f>_xlfn.XLOOKUP($E496,'games played'!$A:$A,'games played'!L:L,"xxx")</f>
        <v>0</v>
      </c>
    </row>
    <row r="497" spans="1:9" x14ac:dyDescent="0.2">
      <c r="A497" s="1">
        <v>497</v>
      </c>
      <c r="B497" s="1">
        <f>_xlfn.XLOOKUP($C497,mlb_ids!E:E,mlb_ids!A:A,"xxx")</f>
        <v>687957</v>
      </c>
      <c r="C497" s="11" t="s">
        <v>459</v>
      </c>
      <c r="D497" s="2" t="s">
        <v>459</v>
      </c>
      <c r="E497" s="2" t="s">
        <v>459</v>
      </c>
      <c r="F497" s="10" t="s">
        <v>2196</v>
      </c>
      <c r="G497" s="10">
        <v>0</v>
      </c>
      <c r="H497" s="10" t="str">
        <f>_xlfn.XLOOKUP($E497,'games played'!$A:$A,'games played'!K:K,"xxx")</f>
        <v>LF</v>
      </c>
      <c r="I497" s="10" t="b">
        <f>_xlfn.XLOOKUP($E497,'games played'!$A:$A,'games played'!L:L,"xxx")</f>
        <v>0</v>
      </c>
    </row>
    <row r="498" spans="1:9" x14ac:dyDescent="0.2">
      <c r="A498" s="1">
        <v>498</v>
      </c>
      <c r="B498" s="1">
        <f>_xlfn.XLOOKUP($C498,mlb_ids!E:E,mlb_ids!A:A,"xxx")</f>
        <v>669326</v>
      </c>
      <c r="C498" s="11" t="s">
        <v>275</v>
      </c>
      <c r="D498" s="2" t="s">
        <v>275</v>
      </c>
      <c r="E498" s="2" t="s">
        <v>275</v>
      </c>
      <c r="F498" s="10" t="s">
        <v>2210</v>
      </c>
      <c r="G498" s="10">
        <v>0</v>
      </c>
      <c r="H498" s="10" t="str">
        <f>_xlfn.XLOOKUP($E498,'games played'!$A:$A,'games played'!K:K,"xxx")</f>
        <v>LF</v>
      </c>
      <c r="I498" s="10" t="b">
        <f>_xlfn.XLOOKUP($E498,'games played'!$A:$A,'games played'!L:L,"xxx")</f>
        <v>0</v>
      </c>
    </row>
    <row r="499" spans="1:9" x14ac:dyDescent="0.2">
      <c r="A499" s="1">
        <v>499</v>
      </c>
      <c r="B499" s="1">
        <f>_xlfn.XLOOKUP($C499,mlb_ids!E:E,mlb_ids!A:A,"xxx")</f>
        <v>669369</v>
      </c>
      <c r="C499" s="11" t="s">
        <v>512</v>
      </c>
      <c r="D499" s="2" t="s">
        <v>512</v>
      </c>
      <c r="E499" s="2" t="s">
        <v>512</v>
      </c>
      <c r="F499" s="10" t="s">
        <v>2222</v>
      </c>
      <c r="G499" s="10">
        <v>0</v>
      </c>
      <c r="H499" s="10" t="str">
        <f>_xlfn.XLOOKUP($E499,'games played'!$A:$A,'games played'!K:K,"xxx")</f>
        <v>RF</v>
      </c>
      <c r="I499" s="10" t="b">
        <f>_xlfn.XLOOKUP($E499,'games played'!$A:$A,'games played'!L:L,"xxx")</f>
        <v>0</v>
      </c>
    </row>
    <row r="500" spans="1:9" x14ac:dyDescent="0.2">
      <c r="A500" s="1">
        <v>500</v>
      </c>
      <c r="B500" s="1">
        <f>_xlfn.XLOOKUP($C500,mlb_ids!E:E,mlb_ids!A:A,"xxx")</f>
        <v>664059</v>
      </c>
      <c r="C500" s="11" t="s">
        <v>513</v>
      </c>
      <c r="D500" s="2" t="s">
        <v>513</v>
      </c>
      <c r="E500" s="2" t="s">
        <v>513</v>
      </c>
      <c r="F500" s="10" t="s">
        <v>2223</v>
      </c>
      <c r="G500" s="10">
        <v>0</v>
      </c>
      <c r="H500" s="10" t="str">
        <f>_xlfn.XLOOKUP($E500,'games played'!$A:$A,'games played'!K:K,"xxx")</f>
        <v>LF</v>
      </c>
      <c r="I500" s="10" t="b">
        <f>_xlfn.XLOOKUP($E500,'games played'!$A:$A,'games played'!L:L,"xxx")</f>
        <v>0</v>
      </c>
    </row>
  </sheetData>
  <autoFilter ref="A1:I500" xr:uid="{438BCB09-DCEC-4A42-812B-1E04B50EE495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7073-F6FA-3240-9A65-E8026B138C47}">
  <dimension ref="A1:E569"/>
  <sheetViews>
    <sheetView topLeftCell="A555" workbookViewId="0">
      <selection activeCell="F581" sqref="F581"/>
    </sheetView>
  </sheetViews>
  <sheetFormatPr baseColWidth="10" defaultRowHeight="16" x14ac:dyDescent="0.2"/>
  <cols>
    <col min="4" max="4" width="19.6640625" bestFit="1" customWidth="1"/>
    <col min="5" max="5" width="15.1640625" bestFit="1" customWidth="1"/>
  </cols>
  <sheetData>
    <row r="1" spans="1:5" x14ac:dyDescent="0.2">
      <c r="A1" s="4" t="s">
        <v>693</v>
      </c>
      <c r="B1" s="4" t="s">
        <v>1271</v>
      </c>
      <c r="C1" s="4" t="s">
        <v>1270</v>
      </c>
      <c r="D1" s="4" t="s">
        <v>692</v>
      </c>
      <c r="E1" s="4" t="s">
        <v>1782</v>
      </c>
    </row>
    <row r="2" spans="1:5" x14ac:dyDescent="0.2">
      <c r="A2">
        <v>680664</v>
      </c>
      <c r="B2" t="s">
        <v>1783</v>
      </c>
      <c r="C2" t="s">
        <v>1272</v>
      </c>
      <c r="D2" t="s">
        <v>706</v>
      </c>
      <c r="E2" t="str">
        <f>B2&amp;" "&amp;C2</f>
        <v>Eduardo Valencia</v>
      </c>
    </row>
    <row r="3" spans="1:5" x14ac:dyDescent="0.2">
      <c r="A3">
        <v>804606</v>
      </c>
      <c r="B3" t="s">
        <v>1784</v>
      </c>
      <c r="C3" t="s">
        <v>1273</v>
      </c>
      <c r="D3" t="s">
        <v>707</v>
      </c>
      <c r="E3" t="str">
        <f t="shared" ref="E3:E66" si="0">B3&amp;" "&amp;C3</f>
        <v>Konnor Griffin</v>
      </c>
    </row>
    <row r="4" spans="1:5" x14ac:dyDescent="0.2">
      <c r="A4">
        <v>700246</v>
      </c>
      <c r="B4" t="s">
        <v>1785</v>
      </c>
      <c r="C4" t="s">
        <v>1274</v>
      </c>
      <c r="D4" t="s">
        <v>708</v>
      </c>
      <c r="E4" t="str">
        <f t="shared" si="0"/>
        <v>Carson Williams</v>
      </c>
    </row>
    <row r="5" spans="1:5" x14ac:dyDescent="0.2">
      <c r="A5">
        <v>575929</v>
      </c>
      <c r="B5" t="s">
        <v>1786</v>
      </c>
      <c r="C5" t="s">
        <v>1275</v>
      </c>
      <c r="D5" t="s">
        <v>709</v>
      </c>
      <c r="E5" t="str">
        <f t="shared" si="0"/>
        <v>Willson Contreras</v>
      </c>
    </row>
    <row r="6" spans="1:5" x14ac:dyDescent="0.2">
      <c r="A6">
        <v>663616</v>
      </c>
      <c r="B6" t="s">
        <v>1787</v>
      </c>
      <c r="C6" t="s">
        <v>1276</v>
      </c>
      <c r="D6" t="s">
        <v>710</v>
      </c>
      <c r="E6" t="str">
        <f t="shared" si="0"/>
        <v>Trevor Larnach</v>
      </c>
    </row>
    <row r="7" spans="1:5" x14ac:dyDescent="0.2">
      <c r="A7">
        <v>669236</v>
      </c>
      <c r="B7" t="s">
        <v>1788</v>
      </c>
      <c r="C7" t="s">
        <v>1277</v>
      </c>
      <c r="D7" t="s">
        <v>711</v>
      </c>
      <c r="E7" t="str">
        <f t="shared" si="0"/>
        <v>Jeremiah Jackson</v>
      </c>
    </row>
    <row r="8" spans="1:5" x14ac:dyDescent="0.2">
      <c r="A8">
        <v>660821</v>
      </c>
      <c r="B8" t="s">
        <v>1789</v>
      </c>
      <c r="C8" t="s">
        <v>1278</v>
      </c>
      <c r="D8" t="s">
        <v>712</v>
      </c>
      <c r="E8" t="str">
        <f t="shared" si="0"/>
        <v>Jesús Sánchez</v>
      </c>
    </row>
    <row r="9" spans="1:5" x14ac:dyDescent="0.2">
      <c r="A9">
        <v>805367</v>
      </c>
      <c r="B9" t="s">
        <v>1790</v>
      </c>
      <c r="C9" t="s">
        <v>1279</v>
      </c>
      <c r="D9" t="s">
        <v>713</v>
      </c>
      <c r="E9" t="str">
        <f t="shared" si="0"/>
        <v>Chase Meidroth</v>
      </c>
    </row>
    <row r="10" spans="1:5" x14ac:dyDescent="0.2">
      <c r="A10">
        <v>641487</v>
      </c>
      <c r="B10" t="s">
        <v>1791</v>
      </c>
      <c r="C10" t="s">
        <v>1280</v>
      </c>
      <c r="D10" t="s">
        <v>714</v>
      </c>
      <c r="E10" t="str">
        <f t="shared" si="0"/>
        <v>J.P. Crawford</v>
      </c>
    </row>
    <row r="11" spans="1:5" x14ac:dyDescent="0.2">
      <c r="A11">
        <v>677956</v>
      </c>
      <c r="B11" t="s">
        <v>1792</v>
      </c>
      <c r="C11" t="s">
        <v>1281</v>
      </c>
      <c r="D11" t="s">
        <v>715</v>
      </c>
      <c r="E11" t="str">
        <f t="shared" si="0"/>
        <v>Rece Hinds</v>
      </c>
    </row>
    <row r="12" spans="1:5" x14ac:dyDescent="0.2">
      <c r="A12">
        <v>593871</v>
      </c>
      <c r="B12" t="s">
        <v>1793</v>
      </c>
      <c r="C12" t="s">
        <v>1282</v>
      </c>
      <c r="D12" t="s">
        <v>716</v>
      </c>
      <c r="E12" t="str">
        <f t="shared" si="0"/>
        <v>Jorge Polanco</v>
      </c>
    </row>
    <row r="13" spans="1:5" x14ac:dyDescent="0.2">
      <c r="A13">
        <v>690924</v>
      </c>
      <c r="B13" t="s">
        <v>1794</v>
      </c>
      <c r="C13" t="s">
        <v>1283</v>
      </c>
      <c r="D13" t="s">
        <v>717</v>
      </c>
      <c r="E13" t="str">
        <f t="shared" si="0"/>
        <v>Braxton Fulford</v>
      </c>
    </row>
    <row r="14" spans="1:5" x14ac:dyDescent="0.2">
      <c r="A14">
        <v>683734</v>
      </c>
      <c r="B14" t="s">
        <v>1795</v>
      </c>
      <c r="C14" t="s">
        <v>1284</v>
      </c>
      <c r="D14" t="s">
        <v>718</v>
      </c>
      <c r="E14" t="str">
        <f t="shared" si="0"/>
        <v>Andrew Vaughn</v>
      </c>
    </row>
    <row r="15" spans="1:5" x14ac:dyDescent="0.2">
      <c r="A15">
        <v>671277</v>
      </c>
      <c r="B15" t="s">
        <v>1796</v>
      </c>
      <c r="C15" t="s">
        <v>1285</v>
      </c>
      <c r="D15" t="s">
        <v>719</v>
      </c>
      <c r="E15" t="str">
        <f t="shared" si="0"/>
        <v>Luis García Jr.</v>
      </c>
    </row>
    <row r="16" spans="1:5" x14ac:dyDescent="0.2">
      <c r="A16">
        <v>656413</v>
      </c>
      <c r="B16" t="s">
        <v>1797</v>
      </c>
      <c r="C16" t="s">
        <v>1286</v>
      </c>
      <c r="D16" t="s">
        <v>720</v>
      </c>
      <c r="E16" t="str">
        <f t="shared" si="0"/>
        <v>Stuart Fairchild</v>
      </c>
    </row>
    <row r="17" spans="1:5" x14ac:dyDescent="0.2">
      <c r="A17">
        <v>663967</v>
      </c>
      <c r="B17" t="s">
        <v>1798</v>
      </c>
      <c r="C17" t="s">
        <v>1287</v>
      </c>
      <c r="D17" t="s">
        <v>721</v>
      </c>
      <c r="E17" t="str">
        <f t="shared" si="0"/>
        <v>César Salazar</v>
      </c>
    </row>
    <row r="18" spans="1:5" x14ac:dyDescent="0.2">
      <c r="A18">
        <v>677060</v>
      </c>
      <c r="B18" t="s">
        <v>1799</v>
      </c>
      <c r="C18" t="s">
        <v>1288</v>
      </c>
      <c r="D18" t="s">
        <v>722</v>
      </c>
      <c r="E18" t="str">
        <f t="shared" si="0"/>
        <v>Chad Stevens</v>
      </c>
    </row>
    <row r="19" spans="1:5" x14ac:dyDescent="0.2">
      <c r="A19">
        <v>663584</v>
      </c>
      <c r="B19" t="s">
        <v>1800</v>
      </c>
      <c r="C19" t="s">
        <v>1289</v>
      </c>
      <c r="D19" t="s">
        <v>723</v>
      </c>
      <c r="E19" t="str">
        <f t="shared" si="0"/>
        <v>Hayden Senger</v>
      </c>
    </row>
    <row r="20" spans="1:5" x14ac:dyDescent="0.2">
      <c r="A20">
        <v>687749</v>
      </c>
      <c r="B20" t="s">
        <v>1801</v>
      </c>
      <c r="C20" t="s">
        <v>1290</v>
      </c>
      <c r="D20" t="s">
        <v>724</v>
      </c>
      <c r="E20" t="str">
        <f t="shared" si="0"/>
        <v>Jase Bowen</v>
      </c>
    </row>
    <row r="21" spans="1:5" x14ac:dyDescent="0.2">
      <c r="A21">
        <v>670541</v>
      </c>
      <c r="B21" t="s">
        <v>1802</v>
      </c>
      <c r="C21" t="s">
        <v>1291</v>
      </c>
      <c r="D21" t="s">
        <v>725</v>
      </c>
      <c r="E21" t="str">
        <f t="shared" si="0"/>
        <v>Yordan Alvarez</v>
      </c>
    </row>
    <row r="22" spans="1:5" x14ac:dyDescent="0.2">
      <c r="A22">
        <v>670623</v>
      </c>
      <c r="B22" t="s">
        <v>1803</v>
      </c>
      <c r="C22" t="s">
        <v>1292</v>
      </c>
      <c r="D22" t="s">
        <v>726</v>
      </c>
      <c r="E22" t="str">
        <f t="shared" si="0"/>
        <v>Isaac Paredes</v>
      </c>
    </row>
    <row r="23" spans="1:5" x14ac:dyDescent="0.2">
      <c r="A23">
        <v>657136</v>
      </c>
      <c r="B23" t="s">
        <v>1804</v>
      </c>
      <c r="C23" t="s">
        <v>1293</v>
      </c>
      <c r="D23" t="s">
        <v>727</v>
      </c>
      <c r="E23" t="str">
        <f t="shared" si="0"/>
        <v>Connor Wong</v>
      </c>
    </row>
    <row r="24" spans="1:5" x14ac:dyDescent="0.2">
      <c r="A24">
        <v>672515</v>
      </c>
      <c r="B24" t="s">
        <v>1805</v>
      </c>
      <c r="C24" t="s">
        <v>1294</v>
      </c>
      <c r="D24" t="s">
        <v>728</v>
      </c>
      <c r="E24" t="str">
        <f t="shared" si="0"/>
        <v>Gabriel Moreno</v>
      </c>
    </row>
    <row r="25" spans="1:5" x14ac:dyDescent="0.2">
      <c r="A25">
        <v>669369</v>
      </c>
      <c r="B25" t="s">
        <v>1806</v>
      </c>
      <c r="C25" t="s">
        <v>1295</v>
      </c>
      <c r="D25" t="s">
        <v>729</v>
      </c>
      <c r="E25" t="str">
        <f t="shared" si="0"/>
        <v>Bryce Johnson</v>
      </c>
    </row>
    <row r="26" spans="1:5" x14ac:dyDescent="0.2">
      <c r="A26">
        <v>672275</v>
      </c>
      <c r="B26" t="s">
        <v>1807</v>
      </c>
      <c r="C26" t="s">
        <v>1296</v>
      </c>
      <c r="D26" t="s">
        <v>730</v>
      </c>
      <c r="E26" t="str">
        <f t="shared" si="0"/>
        <v>Patrick Bailey</v>
      </c>
    </row>
    <row r="27" spans="1:5" x14ac:dyDescent="0.2">
      <c r="A27">
        <v>668670</v>
      </c>
      <c r="B27" t="s">
        <v>1808</v>
      </c>
      <c r="C27" t="s">
        <v>1297</v>
      </c>
      <c r="D27" t="s">
        <v>731</v>
      </c>
      <c r="E27" t="str">
        <f t="shared" si="0"/>
        <v>Jake Rogers</v>
      </c>
    </row>
    <row r="28" spans="1:5" x14ac:dyDescent="0.2">
      <c r="A28">
        <v>808959</v>
      </c>
      <c r="B28" t="s">
        <v>1809</v>
      </c>
      <c r="C28" t="s">
        <v>1298</v>
      </c>
      <c r="D28" t="s">
        <v>732</v>
      </c>
      <c r="E28" t="str">
        <f t="shared" si="0"/>
        <v>Munetaka Murakami</v>
      </c>
    </row>
    <row r="29" spans="1:5" x14ac:dyDescent="0.2">
      <c r="A29">
        <v>673490</v>
      </c>
      <c r="B29" t="s">
        <v>1810</v>
      </c>
      <c r="C29" t="s">
        <v>1299</v>
      </c>
      <c r="D29" t="s">
        <v>733</v>
      </c>
      <c r="E29" t="str">
        <f t="shared" si="0"/>
        <v>Ha-Seong Kim</v>
      </c>
    </row>
    <row r="30" spans="1:5" x14ac:dyDescent="0.2">
      <c r="A30">
        <v>696135</v>
      </c>
      <c r="B30" t="s">
        <v>1811</v>
      </c>
      <c r="C30" t="s">
        <v>1300</v>
      </c>
      <c r="D30" t="s">
        <v>734</v>
      </c>
      <c r="E30" t="str">
        <f t="shared" si="0"/>
        <v>Kahlil Watson</v>
      </c>
    </row>
    <row r="31" spans="1:5" x14ac:dyDescent="0.2">
      <c r="A31">
        <v>807712</v>
      </c>
      <c r="B31" t="s">
        <v>1812</v>
      </c>
      <c r="C31" t="s">
        <v>1301</v>
      </c>
      <c r="D31" t="s">
        <v>735</v>
      </c>
      <c r="E31" t="str">
        <f t="shared" si="0"/>
        <v>Luke Keaschall</v>
      </c>
    </row>
    <row r="32" spans="1:5" x14ac:dyDescent="0.2">
      <c r="A32">
        <v>642133</v>
      </c>
      <c r="B32" t="s">
        <v>1813</v>
      </c>
      <c r="C32" t="s">
        <v>1302</v>
      </c>
      <c r="D32" t="s">
        <v>736</v>
      </c>
      <c r="E32" t="str">
        <f t="shared" si="0"/>
        <v>Rowdy Tellez</v>
      </c>
    </row>
    <row r="33" spans="1:5" x14ac:dyDescent="0.2">
      <c r="A33">
        <v>641355</v>
      </c>
      <c r="B33" t="s">
        <v>1814</v>
      </c>
      <c r="C33" t="s">
        <v>1303</v>
      </c>
      <c r="D33" t="s">
        <v>737</v>
      </c>
      <c r="E33" t="str">
        <f t="shared" si="0"/>
        <v>Cody Bellinger</v>
      </c>
    </row>
    <row r="34" spans="1:5" x14ac:dyDescent="0.2">
      <c r="A34">
        <v>676369</v>
      </c>
      <c r="B34" t="s">
        <v>1815</v>
      </c>
      <c r="C34" t="s">
        <v>1304</v>
      </c>
      <c r="D34" t="s">
        <v>738</v>
      </c>
      <c r="E34" t="str">
        <f t="shared" si="0"/>
        <v>Nelson Velázquez</v>
      </c>
    </row>
    <row r="35" spans="1:5" x14ac:dyDescent="0.2">
      <c r="A35">
        <v>457705</v>
      </c>
      <c r="B35" t="s">
        <v>1795</v>
      </c>
      <c r="C35" t="s">
        <v>1305</v>
      </c>
      <c r="D35" t="s">
        <v>739</v>
      </c>
      <c r="E35" t="str">
        <f t="shared" si="0"/>
        <v>Andrew McCutchen</v>
      </c>
    </row>
    <row r="36" spans="1:5" x14ac:dyDescent="0.2">
      <c r="A36">
        <v>621043</v>
      </c>
      <c r="B36" t="s">
        <v>1816</v>
      </c>
      <c r="C36" t="s">
        <v>1306</v>
      </c>
      <c r="D36" t="s">
        <v>740</v>
      </c>
      <c r="E36" t="str">
        <f t="shared" si="0"/>
        <v>Carlos Correa</v>
      </c>
    </row>
    <row r="37" spans="1:5" x14ac:dyDescent="0.2">
      <c r="A37">
        <v>642020</v>
      </c>
      <c r="B37" t="s">
        <v>1817</v>
      </c>
      <c r="C37" t="s">
        <v>1307</v>
      </c>
      <c r="D37" t="s">
        <v>741</v>
      </c>
      <c r="E37" t="str">
        <f t="shared" si="0"/>
        <v>Chuckie Robinson</v>
      </c>
    </row>
    <row r="38" spans="1:5" x14ac:dyDescent="0.2">
      <c r="A38">
        <v>670224</v>
      </c>
      <c r="B38" t="s">
        <v>1818</v>
      </c>
      <c r="C38" t="s">
        <v>1308</v>
      </c>
      <c r="D38" t="s">
        <v>742</v>
      </c>
      <c r="E38" t="str">
        <f t="shared" si="0"/>
        <v>Kameron Misner</v>
      </c>
    </row>
    <row r="39" spans="1:5" x14ac:dyDescent="0.2">
      <c r="A39">
        <v>680977</v>
      </c>
      <c r="B39" t="s">
        <v>1819</v>
      </c>
      <c r="C39" t="s">
        <v>1309</v>
      </c>
      <c r="D39" t="s">
        <v>743</v>
      </c>
      <c r="E39" t="str">
        <f t="shared" si="0"/>
        <v>Brendan Donovan</v>
      </c>
    </row>
    <row r="40" spans="1:5" x14ac:dyDescent="0.2">
      <c r="A40">
        <v>669384</v>
      </c>
      <c r="B40" t="s">
        <v>1820</v>
      </c>
      <c r="C40" t="s">
        <v>1310</v>
      </c>
      <c r="D40" t="s">
        <v>744</v>
      </c>
      <c r="E40" t="str">
        <f t="shared" si="0"/>
        <v>Raynel Delgado</v>
      </c>
    </row>
    <row r="41" spans="1:5" x14ac:dyDescent="0.2">
      <c r="A41">
        <v>696285</v>
      </c>
      <c r="B41" t="s">
        <v>1821</v>
      </c>
      <c r="C41" t="s">
        <v>1311</v>
      </c>
      <c r="D41" t="s">
        <v>745</v>
      </c>
      <c r="E41" t="str">
        <f t="shared" si="0"/>
        <v>Jacob Young</v>
      </c>
    </row>
    <row r="42" spans="1:5" x14ac:dyDescent="0.2">
      <c r="A42">
        <v>686823</v>
      </c>
      <c r="B42" t="s">
        <v>1822</v>
      </c>
      <c r="C42" t="s">
        <v>1312</v>
      </c>
      <c r="D42" t="s">
        <v>746</v>
      </c>
      <c r="E42" t="str">
        <f t="shared" si="0"/>
        <v>Will Brennan</v>
      </c>
    </row>
    <row r="43" spans="1:5" x14ac:dyDescent="0.2">
      <c r="A43">
        <v>691781</v>
      </c>
      <c r="B43" t="s">
        <v>1823</v>
      </c>
      <c r="C43" t="s">
        <v>1313</v>
      </c>
      <c r="D43" t="s">
        <v>747</v>
      </c>
      <c r="E43" t="str">
        <f t="shared" si="0"/>
        <v>Brady House</v>
      </c>
    </row>
    <row r="44" spans="1:5" x14ac:dyDescent="0.2">
      <c r="A44">
        <v>665019</v>
      </c>
      <c r="B44" t="s">
        <v>1824</v>
      </c>
      <c r="C44" t="s">
        <v>1314</v>
      </c>
      <c r="D44" t="s">
        <v>748</v>
      </c>
      <c r="E44" t="str">
        <f t="shared" si="0"/>
        <v>Kody Clemens</v>
      </c>
    </row>
    <row r="45" spans="1:5" x14ac:dyDescent="0.2">
      <c r="A45">
        <v>677592</v>
      </c>
      <c r="B45" t="s">
        <v>1825</v>
      </c>
      <c r="C45" t="s">
        <v>1315</v>
      </c>
      <c r="D45" t="s">
        <v>749</v>
      </c>
      <c r="E45" t="str">
        <f t="shared" si="0"/>
        <v>Everson Pereira</v>
      </c>
    </row>
    <row r="46" spans="1:5" x14ac:dyDescent="0.2">
      <c r="A46">
        <v>669899</v>
      </c>
      <c r="B46" t="s">
        <v>1826</v>
      </c>
      <c r="C46" t="s">
        <v>1316</v>
      </c>
      <c r="D46" t="s">
        <v>750</v>
      </c>
      <c r="E46" t="str">
        <f t="shared" si="0"/>
        <v>Ryan Ward</v>
      </c>
    </row>
    <row r="47" spans="1:5" x14ac:dyDescent="0.2">
      <c r="A47">
        <v>694497</v>
      </c>
      <c r="B47" t="s">
        <v>1827</v>
      </c>
      <c r="C47" t="s">
        <v>1317</v>
      </c>
      <c r="D47" t="s">
        <v>751</v>
      </c>
      <c r="E47" t="str">
        <f t="shared" si="0"/>
        <v>Evan Carter</v>
      </c>
    </row>
    <row r="48" spans="1:5" x14ac:dyDescent="0.2">
      <c r="A48">
        <v>668715</v>
      </c>
      <c r="B48" t="s">
        <v>1828</v>
      </c>
      <c r="C48" t="s">
        <v>1318</v>
      </c>
      <c r="D48" t="s">
        <v>752</v>
      </c>
      <c r="E48" t="str">
        <f t="shared" si="0"/>
        <v>Spencer Steer</v>
      </c>
    </row>
    <row r="49" spans="1:5" x14ac:dyDescent="0.2">
      <c r="A49">
        <v>670032</v>
      </c>
      <c r="B49" t="s">
        <v>1829</v>
      </c>
      <c r="C49" t="s">
        <v>1319</v>
      </c>
      <c r="D49" t="s">
        <v>753</v>
      </c>
      <c r="E49" t="str">
        <f t="shared" si="0"/>
        <v>Nicky Lopez</v>
      </c>
    </row>
    <row r="50" spans="1:5" x14ac:dyDescent="0.2">
      <c r="A50">
        <v>656484</v>
      </c>
      <c r="B50" t="s">
        <v>1830</v>
      </c>
      <c r="C50" t="s">
        <v>1320</v>
      </c>
      <c r="D50" t="s">
        <v>754</v>
      </c>
      <c r="E50" t="str">
        <f t="shared" si="0"/>
        <v>Tristan Gray</v>
      </c>
    </row>
    <row r="51" spans="1:5" x14ac:dyDescent="0.2">
      <c r="A51">
        <v>663604</v>
      </c>
      <c r="B51" t="s">
        <v>1831</v>
      </c>
      <c r="C51" t="s">
        <v>1321</v>
      </c>
      <c r="D51" t="s">
        <v>755</v>
      </c>
      <c r="E51" t="str">
        <f t="shared" si="0"/>
        <v>Brandon Lockridge</v>
      </c>
    </row>
    <row r="52" spans="1:5" x14ac:dyDescent="0.2">
      <c r="A52">
        <v>680574</v>
      </c>
      <c r="B52" t="s">
        <v>1832</v>
      </c>
      <c r="C52" t="s">
        <v>1322</v>
      </c>
      <c r="D52" t="s">
        <v>756</v>
      </c>
      <c r="E52" t="str">
        <f t="shared" si="0"/>
        <v>Matt McLain</v>
      </c>
    </row>
    <row r="53" spans="1:5" x14ac:dyDescent="0.2">
      <c r="A53">
        <v>592518</v>
      </c>
      <c r="B53" t="s">
        <v>1833</v>
      </c>
      <c r="C53" t="s">
        <v>1323</v>
      </c>
      <c r="D53" t="s">
        <v>757</v>
      </c>
      <c r="E53" t="str">
        <f t="shared" si="0"/>
        <v>Manny Machado</v>
      </c>
    </row>
    <row r="54" spans="1:5" x14ac:dyDescent="0.2">
      <c r="A54">
        <v>665487</v>
      </c>
      <c r="B54" t="s">
        <v>1834</v>
      </c>
      <c r="C54" t="s">
        <v>1324</v>
      </c>
      <c r="D54" t="s">
        <v>758</v>
      </c>
      <c r="E54" t="str">
        <f t="shared" si="0"/>
        <v>Fernando Tatis Jr.</v>
      </c>
    </row>
    <row r="55" spans="1:5" x14ac:dyDescent="0.2">
      <c r="A55">
        <v>642086</v>
      </c>
      <c r="B55" t="s">
        <v>1835</v>
      </c>
      <c r="C55" t="s">
        <v>1325</v>
      </c>
      <c r="D55" t="s">
        <v>759</v>
      </c>
      <c r="E55" t="str">
        <f t="shared" si="0"/>
        <v>Dominic Smith</v>
      </c>
    </row>
    <row r="56" spans="1:5" x14ac:dyDescent="0.2">
      <c r="A56">
        <v>656811</v>
      </c>
      <c r="B56" t="s">
        <v>1826</v>
      </c>
      <c r="C56" t="s">
        <v>1326</v>
      </c>
      <c r="D56" t="s">
        <v>760</v>
      </c>
      <c r="E56" t="str">
        <f t="shared" si="0"/>
        <v>Ryan O'Hearn</v>
      </c>
    </row>
    <row r="57" spans="1:5" x14ac:dyDescent="0.2">
      <c r="A57">
        <v>663656</v>
      </c>
      <c r="B57" t="s">
        <v>1836</v>
      </c>
      <c r="C57" t="s">
        <v>1327</v>
      </c>
      <c r="D57" t="s">
        <v>761</v>
      </c>
      <c r="E57" t="str">
        <f t="shared" si="0"/>
        <v>Kyle Tucker</v>
      </c>
    </row>
    <row r="58" spans="1:5" x14ac:dyDescent="0.2">
      <c r="A58">
        <v>682877</v>
      </c>
      <c r="B58" t="s">
        <v>1837</v>
      </c>
      <c r="C58" t="s">
        <v>1328</v>
      </c>
      <c r="D58" t="s">
        <v>762</v>
      </c>
      <c r="E58" t="str">
        <f t="shared" si="0"/>
        <v>Juan Brito</v>
      </c>
    </row>
    <row r="59" spans="1:5" x14ac:dyDescent="0.2">
      <c r="A59">
        <v>687859</v>
      </c>
      <c r="B59" t="s">
        <v>1731</v>
      </c>
      <c r="C59" t="s">
        <v>1329</v>
      </c>
      <c r="D59" t="s">
        <v>763</v>
      </c>
      <c r="E59" t="str">
        <f t="shared" si="0"/>
        <v>Troy Johnston</v>
      </c>
    </row>
    <row r="60" spans="1:5" x14ac:dyDescent="0.2">
      <c r="A60">
        <v>672284</v>
      </c>
      <c r="B60" t="s">
        <v>1838</v>
      </c>
      <c r="C60" t="s">
        <v>1330</v>
      </c>
      <c r="D60" t="s">
        <v>764</v>
      </c>
      <c r="E60" t="str">
        <f t="shared" si="0"/>
        <v>Jarred Kelenic</v>
      </c>
    </row>
    <row r="61" spans="1:5" x14ac:dyDescent="0.2">
      <c r="A61">
        <v>663886</v>
      </c>
      <c r="B61" t="s">
        <v>1839</v>
      </c>
      <c r="C61" t="s">
        <v>1331</v>
      </c>
      <c r="D61" t="s">
        <v>765</v>
      </c>
      <c r="E61" t="str">
        <f t="shared" si="0"/>
        <v>Tyler Stephenson</v>
      </c>
    </row>
    <row r="62" spans="1:5" x14ac:dyDescent="0.2">
      <c r="A62">
        <v>592663</v>
      </c>
      <c r="B62" t="s">
        <v>1840</v>
      </c>
      <c r="C62" t="s">
        <v>1332</v>
      </c>
      <c r="D62" t="s">
        <v>766</v>
      </c>
      <c r="E62" t="str">
        <f t="shared" si="0"/>
        <v>J.T. Realmuto</v>
      </c>
    </row>
    <row r="63" spans="1:5" x14ac:dyDescent="0.2">
      <c r="A63">
        <v>664023</v>
      </c>
      <c r="B63" t="s">
        <v>1841</v>
      </c>
      <c r="C63" t="s">
        <v>1333</v>
      </c>
      <c r="D63" t="s">
        <v>767</v>
      </c>
      <c r="E63" t="str">
        <f t="shared" si="0"/>
        <v>Ian Happ</v>
      </c>
    </row>
    <row r="64" spans="1:5" x14ac:dyDescent="0.2">
      <c r="A64">
        <v>691720</v>
      </c>
      <c r="B64" t="s">
        <v>1836</v>
      </c>
      <c r="C64" t="s">
        <v>1334</v>
      </c>
      <c r="D64" t="s">
        <v>768</v>
      </c>
      <c r="E64" t="str">
        <f t="shared" si="0"/>
        <v>Kyle Karros</v>
      </c>
    </row>
    <row r="65" spans="1:5" x14ac:dyDescent="0.2">
      <c r="A65">
        <v>608369</v>
      </c>
      <c r="B65" t="s">
        <v>1842</v>
      </c>
      <c r="C65" t="s">
        <v>1335</v>
      </c>
      <c r="D65" t="s">
        <v>769</v>
      </c>
      <c r="E65" t="str">
        <f t="shared" si="0"/>
        <v>Corey Seager</v>
      </c>
    </row>
    <row r="66" spans="1:5" x14ac:dyDescent="0.2">
      <c r="A66">
        <v>596103</v>
      </c>
      <c r="B66" t="s">
        <v>1843</v>
      </c>
      <c r="C66" t="s">
        <v>1336</v>
      </c>
      <c r="D66" t="s">
        <v>770</v>
      </c>
      <c r="E66" t="str">
        <f t="shared" si="0"/>
        <v>Austin Slater</v>
      </c>
    </row>
    <row r="67" spans="1:5" x14ac:dyDescent="0.2">
      <c r="A67">
        <v>672640</v>
      </c>
      <c r="B67" t="s">
        <v>1844</v>
      </c>
      <c r="C67" t="s">
        <v>1319</v>
      </c>
      <c r="D67" t="s">
        <v>771</v>
      </c>
      <c r="E67" t="str">
        <f t="shared" ref="E67:E130" si="1">B67&amp;" "&amp;C67</f>
        <v>Otto Lopez</v>
      </c>
    </row>
    <row r="68" spans="1:5" x14ac:dyDescent="0.2">
      <c r="A68">
        <v>685133</v>
      </c>
      <c r="B68" t="s">
        <v>1845</v>
      </c>
      <c r="C68" t="s">
        <v>1337</v>
      </c>
      <c r="D68" t="s">
        <v>772</v>
      </c>
      <c r="E68" t="str">
        <f t="shared" si="1"/>
        <v>Wade Meckler</v>
      </c>
    </row>
    <row r="69" spans="1:5" x14ac:dyDescent="0.2">
      <c r="A69">
        <v>641598</v>
      </c>
      <c r="B69" t="s">
        <v>1846</v>
      </c>
      <c r="C69" t="s">
        <v>1338</v>
      </c>
      <c r="D69" t="s">
        <v>773</v>
      </c>
      <c r="E69" t="str">
        <f t="shared" si="1"/>
        <v>Mitch Garver</v>
      </c>
    </row>
    <row r="70" spans="1:5" x14ac:dyDescent="0.2">
      <c r="A70">
        <v>518692</v>
      </c>
      <c r="B70" t="s">
        <v>1847</v>
      </c>
      <c r="C70" t="s">
        <v>1339</v>
      </c>
      <c r="D70" t="s">
        <v>774</v>
      </c>
      <c r="E70" t="str">
        <f t="shared" si="1"/>
        <v>Freddie Freeman</v>
      </c>
    </row>
    <row r="71" spans="1:5" x14ac:dyDescent="0.2">
      <c r="A71">
        <v>518595</v>
      </c>
      <c r="B71" t="s">
        <v>1848</v>
      </c>
      <c r="C71" t="s">
        <v>1340</v>
      </c>
      <c r="D71" t="s">
        <v>775</v>
      </c>
      <c r="E71" t="str">
        <f t="shared" si="1"/>
        <v>Travis d'Arnaud</v>
      </c>
    </row>
    <row r="72" spans="1:5" x14ac:dyDescent="0.2">
      <c r="A72">
        <v>670764</v>
      </c>
      <c r="B72" t="s">
        <v>1697</v>
      </c>
      <c r="C72" t="s">
        <v>1341</v>
      </c>
      <c r="D72" t="s">
        <v>776</v>
      </c>
      <c r="E72" t="str">
        <f t="shared" si="1"/>
        <v>Taylor Walls</v>
      </c>
    </row>
    <row r="73" spans="1:5" x14ac:dyDescent="0.2">
      <c r="A73">
        <v>666397</v>
      </c>
      <c r="B73" t="s">
        <v>1849</v>
      </c>
      <c r="C73" t="s">
        <v>1342</v>
      </c>
      <c r="D73" t="s">
        <v>777</v>
      </c>
      <c r="E73" t="str">
        <f t="shared" si="1"/>
        <v>Edouard Julien</v>
      </c>
    </row>
    <row r="74" spans="1:5" x14ac:dyDescent="0.2">
      <c r="A74">
        <v>686668</v>
      </c>
      <c r="B74" t="s">
        <v>1850</v>
      </c>
      <c r="C74" t="s">
        <v>1343</v>
      </c>
      <c r="D74" t="s">
        <v>778</v>
      </c>
      <c r="E74" t="str">
        <f t="shared" si="1"/>
        <v>Brenton Doyle</v>
      </c>
    </row>
    <row r="75" spans="1:5" x14ac:dyDescent="0.2">
      <c r="A75">
        <v>664770</v>
      </c>
      <c r="B75" t="s">
        <v>1851</v>
      </c>
      <c r="C75" t="s">
        <v>1344</v>
      </c>
      <c r="D75" t="s">
        <v>779</v>
      </c>
      <c r="E75" t="str">
        <f t="shared" si="1"/>
        <v>Nathan Lukes</v>
      </c>
    </row>
    <row r="76" spans="1:5" x14ac:dyDescent="0.2">
      <c r="A76">
        <v>656716</v>
      </c>
      <c r="B76" t="s">
        <v>1852</v>
      </c>
      <c r="C76" t="s">
        <v>1345</v>
      </c>
      <c r="D76" t="s">
        <v>780</v>
      </c>
      <c r="E76" t="str">
        <f t="shared" si="1"/>
        <v>Zach McKinstry</v>
      </c>
    </row>
    <row r="77" spans="1:5" x14ac:dyDescent="0.2">
      <c r="A77">
        <v>545121</v>
      </c>
      <c r="B77" t="s">
        <v>1853</v>
      </c>
      <c r="C77" t="s">
        <v>1346</v>
      </c>
      <c r="D77" t="s">
        <v>781</v>
      </c>
      <c r="E77" t="str">
        <f t="shared" si="1"/>
        <v>Ildemaro Vargas</v>
      </c>
    </row>
    <row r="78" spans="1:5" x14ac:dyDescent="0.2">
      <c r="A78">
        <v>696100</v>
      </c>
      <c r="B78" t="s">
        <v>1854</v>
      </c>
      <c r="C78" t="s">
        <v>1347</v>
      </c>
      <c r="D78" t="s">
        <v>782</v>
      </c>
      <c r="E78" t="str">
        <f t="shared" si="1"/>
        <v>Hunter Goodman</v>
      </c>
    </row>
    <row r="79" spans="1:5" x14ac:dyDescent="0.2">
      <c r="A79">
        <v>681082</v>
      </c>
      <c r="B79" t="s">
        <v>1855</v>
      </c>
      <c r="C79" t="s">
        <v>1348</v>
      </c>
      <c r="D79" t="s">
        <v>783</v>
      </c>
      <c r="E79" t="str">
        <f t="shared" si="1"/>
        <v>Bryson Stott</v>
      </c>
    </row>
    <row r="80" spans="1:5" x14ac:dyDescent="0.2">
      <c r="A80">
        <v>665561</v>
      </c>
      <c r="B80" t="s">
        <v>1856</v>
      </c>
      <c r="C80" t="s">
        <v>1349</v>
      </c>
      <c r="D80" t="s">
        <v>784</v>
      </c>
      <c r="E80" t="str">
        <f t="shared" si="1"/>
        <v>Rafael Marchán</v>
      </c>
    </row>
    <row r="81" spans="1:5" x14ac:dyDescent="0.2">
      <c r="A81">
        <v>694362</v>
      </c>
      <c r="B81" t="s">
        <v>1857</v>
      </c>
      <c r="C81" t="s">
        <v>1350</v>
      </c>
      <c r="D81" t="s">
        <v>785</v>
      </c>
      <c r="E81" t="str">
        <f t="shared" si="1"/>
        <v>Blake Dunn</v>
      </c>
    </row>
    <row r="82" spans="1:5" x14ac:dyDescent="0.2">
      <c r="A82">
        <v>680779</v>
      </c>
      <c r="B82" t="s">
        <v>1858</v>
      </c>
      <c r="C82" t="s">
        <v>1351</v>
      </c>
      <c r="D82" t="s">
        <v>786</v>
      </c>
      <c r="E82" t="str">
        <f t="shared" si="1"/>
        <v>Henry Davis</v>
      </c>
    </row>
    <row r="83" spans="1:5" x14ac:dyDescent="0.2">
      <c r="A83">
        <v>672012</v>
      </c>
      <c r="B83" t="s">
        <v>1839</v>
      </c>
      <c r="C83" t="s">
        <v>1352</v>
      </c>
      <c r="D83" t="s">
        <v>787</v>
      </c>
      <c r="E83" t="str">
        <f t="shared" si="1"/>
        <v>Tyler Black</v>
      </c>
    </row>
    <row r="84" spans="1:5" x14ac:dyDescent="0.2">
      <c r="A84">
        <v>665161</v>
      </c>
      <c r="B84" t="s">
        <v>1859</v>
      </c>
      <c r="C84" t="s">
        <v>1353</v>
      </c>
      <c r="D84" t="s">
        <v>788</v>
      </c>
      <c r="E84" t="str">
        <f t="shared" si="1"/>
        <v>Jeremy Peña</v>
      </c>
    </row>
    <row r="85" spans="1:5" x14ac:dyDescent="0.2">
      <c r="A85">
        <v>681297</v>
      </c>
      <c r="B85" t="s">
        <v>1860</v>
      </c>
      <c r="C85" t="s">
        <v>1354</v>
      </c>
      <c r="D85" t="s">
        <v>789</v>
      </c>
      <c r="E85" t="str">
        <f t="shared" si="1"/>
        <v>Colton Cowser</v>
      </c>
    </row>
    <row r="86" spans="1:5" x14ac:dyDescent="0.2">
      <c r="A86">
        <v>673237</v>
      </c>
      <c r="B86" t="s">
        <v>1861</v>
      </c>
      <c r="C86" t="s">
        <v>1355</v>
      </c>
      <c r="D86" t="s">
        <v>790</v>
      </c>
      <c r="E86" t="str">
        <f t="shared" si="1"/>
        <v>Yainer Diaz</v>
      </c>
    </row>
    <row r="87" spans="1:5" x14ac:dyDescent="0.2">
      <c r="A87">
        <v>650490</v>
      </c>
      <c r="B87" t="s">
        <v>1862</v>
      </c>
      <c r="C87" t="s">
        <v>1356</v>
      </c>
      <c r="D87" t="s">
        <v>791</v>
      </c>
      <c r="E87" t="str">
        <f t="shared" si="1"/>
        <v>Yandy Díaz</v>
      </c>
    </row>
    <row r="88" spans="1:5" x14ac:dyDescent="0.2">
      <c r="A88">
        <v>691023</v>
      </c>
      <c r="B88" t="s">
        <v>1518</v>
      </c>
      <c r="C88" t="s">
        <v>1357</v>
      </c>
      <c r="D88" t="s">
        <v>792</v>
      </c>
      <c r="E88" t="str">
        <f t="shared" si="1"/>
        <v>Jordan Walker</v>
      </c>
    </row>
    <row r="89" spans="1:5" x14ac:dyDescent="0.2">
      <c r="A89">
        <v>806068</v>
      </c>
      <c r="B89" t="s">
        <v>1863</v>
      </c>
      <c r="C89" t="s">
        <v>1358</v>
      </c>
      <c r="D89" t="s">
        <v>793</v>
      </c>
      <c r="E89" t="str">
        <f t="shared" si="1"/>
        <v>Colt Emerson</v>
      </c>
    </row>
    <row r="90" spans="1:5" x14ac:dyDescent="0.2">
      <c r="A90">
        <v>592626</v>
      </c>
      <c r="B90" t="s">
        <v>1864</v>
      </c>
      <c r="C90" t="s">
        <v>1359</v>
      </c>
      <c r="D90" t="s">
        <v>794</v>
      </c>
      <c r="E90" t="str">
        <f t="shared" si="1"/>
        <v>Joc Pederson</v>
      </c>
    </row>
    <row r="91" spans="1:5" x14ac:dyDescent="0.2">
      <c r="A91">
        <v>682985</v>
      </c>
      <c r="B91" t="s">
        <v>1557</v>
      </c>
      <c r="C91" t="s">
        <v>1360</v>
      </c>
      <c r="D91" t="s">
        <v>795</v>
      </c>
      <c r="E91" t="str">
        <f t="shared" si="1"/>
        <v>Riley Greene</v>
      </c>
    </row>
    <row r="92" spans="1:5" x14ac:dyDescent="0.2">
      <c r="A92">
        <v>691373</v>
      </c>
      <c r="B92" t="s">
        <v>1865</v>
      </c>
      <c r="C92" t="s">
        <v>1361</v>
      </c>
      <c r="D92" t="s">
        <v>796</v>
      </c>
      <c r="E92" t="str">
        <f t="shared" si="1"/>
        <v>Jhostynxon Garcia</v>
      </c>
    </row>
    <row r="93" spans="1:5" x14ac:dyDescent="0.2">
      <c r="A93">
        <v>686475</v>
      </c>
      <c r="B93" t="s">
        <v>1839</v>
      </c>
      <c r="C93" t="s">
        <v>1362</v>
      </c>
      <c r="D93" t="s">
        <v>797</v>
      </c>
      <c r="E93" t="str">
        <f t="shared" si="1"/>
        <v>Tyler Tolbert</v>
      </c>
    </row>
    <row r="94" spans="1:5" x14ac:dyDescent="0.2">
      <c r="A94">
        <v>514888</v>
      </c>
      <c r="B94" t="s">
        <v>1866</v>
      </c>
      <c r="C94" t="s">
        <v>1363</v>
      </c>
      <c r="D94" t="s">
        <v>798</v>
      </c>
      <c r="E94" t="str">
        <f t="shared" si="1"/>
        <v>Jose Altuve</v>
      </c>
    </row>
    <row r="95" spans="1:5" x14ac:dyDescent="0.2">
      <c r="A95">
        <v>823550</v>
      </c>
      <c r="B95" t="s">
        <v>1867</v>
      </c>
      <c r="C95" t="s">
        <v>1364</v>
      </c>
      <c r="D95" t="s">
        <v>799</v>
      </c>
      <c r="E95" t="str">
        <f t="shared" si="1"/>
        <v>Sung-Mun Song</v>
      </c>
    </row>
    <row r="96" spans="1:5" x14ac:dyDescent="0.2">
      <c r="A96">
        <v>811965</v>
      </c>
      <c r="B96" t="s">
        <v>1868</v>
      </c>
      <c r="C96" t="s">
        <v>1365</v>
      </c>
      <c r="D96" t="s">
        <v>800</v>
      </c>
      <c r="E96" t="str">
        <f t="shared" si="1"/>
        <v>Joshua Kuroda-Grauer</v>
      </c>
    </row>
    <row r="97" spans="1:5" x14ac:dyDescent="0.2">
      <c r="A97">
        <v>683227</v>
      </c>
      <c r="B97" t="s">
        <v>1814</v>
      </c>
      <c r="C97" t="s">
        <v>1339</v>
      </c>
      <c r="D97" t="s">
        <v>801</v>
      </c>
      <c r="E97" t="str">
        <f t="shared" si="1"/>
        <v>Cody Freeman</v>
      </c>
    </row>
    <row r="98" spans="1:5" x14ac:dyDescent="0.2">
      <c r="A98">
        <v>692216</v>
      </c>
      <c r="B98" t="s">
        <v>1869</v>
      </c>
      <c r="C98" t="s">
        <v>1366</v>
      </c>
      <c r="D98" t="s">
        <v>802</v>
      </c>
      <c r="E98" t="str">
        <f t="shared" si="1"/>
        <v>CJ Kayfus</v>
      </c>
    </row>
    <row r="99" spans="1:5" x14ac:dyDescent="0.2">
      <c r="A99">
        <v>670242</v>
      </c>
      <c r="B99" t="s">
        <v>1832</v>
      </c>
      <c r="C99" t="s">
        <v>1367</v>
      </c>
      <c r="D99" t="s">
        <v>803</v>
      </c>
      <c r="E99" t="str">
        <f t="shared" si="1"/>
        <v>Matt Wallner</v>
      </c>
    </row>
    <row r="100" spans="1:5" x14ac:dyDescent="0.2">
      <c r="A100">
        <v>663647</v>
      </c>
      <c r="B100" t="s">
        <v>1870</v>
      </c>
      <c r="C100" t="s">
        <v>1368</v>
      </c>
      <c r="D100" t="s">
        <v>804</v>
      </c>
      <c r="E100" t="str">
        <f t="shared" si="1"/>
        <v>Ke'Bryan Hayes</v>
      </c>
    </row>
    <row r="101" spans="1:5" x14ac:dyDescent="0.2">
      <c r="A101">
        <v>663853</v>
      </c>
      <c r="B101" t="s">
        <v>1871</v>
      </c>
      <c r="C101" t="s">
        <v>1369</v>
      </c>
      <c r="D101" t="s">
        <v>805</v>
      </c>
      <c r="E101" t="str">
        <f t="shared" si="1"/>
        <v>Romy Gonzalez</v>
      </c>
    </row>
    <row r="102" spans="1:5" x14ac:dyDescent="0.2">
      <c r="A102">
        <v>596117</v>
      </c>
      <c r="B102" t="s">
        <v>1872</v>
      </c>
      <c r="C102" t="s">
        <v>1370</v>
      </c>
      <c r="D102" t="s">
        <v>806</v>
      </c>
      <c r="E102" t="str">
        <f t="shared" si="1"/>
        <v>Garrett Stubbs</v>
      </c>
    </row>
    <row r="103" spans="1:5" x14ac:dyDescent="0.2">
      <c r="A103">
        <v>693307</v>
      </c>
      <c r="B103" t="s">
        <v>1873</v>
      </c>
      <c r="C103" t="s">
        <v>1371</v>
      </c>
      <c r="D103" t="s">
        <v>807</v>
      </c>
      <c r="E103" t="str">
        <f t="shared" si="1"/>
        <v>Dillon Dingler</v>
      </c>
    </row>
    <row r="104" spans="1:5" x14ac:dyDescent="0.2">
      <c r="A104">
        <v>686555</v>
      </c>
      <c r="B104" t="s">
        <v>1803</v>
      </c>
      <c r="C104" t="s">
        <v>1372</v>
      </c>
      <c r="D104" t="s">
        <v>808</v>
      </c>
      <c r="E104" t="str">
        <f t="shared" si="1"/>
        <v>Isaac Collins</v>
      </c>
    </row>
    <row r="105" spans="1:5" x14ac:dyDescent="0.2">
      <c r="A105">
        <v>666181</v>
      </c>
      <c r="B105" t="s">
        <v>1822</v>
      </c>
      <c r="C105" t="s">
        <v>1373</v>
      </c>
      <c r="D105" t="s">
        <v>809</v>
      </c>
      <c r="E105" t="str">
        <f t="shared" si="1"/>
        <v>Will Benson</v>
      </c>
    </row>
    <row r="106" spans="1:5" x14ac:dyDescent="0.2">
      <c r="A106">
        <v>553869</v>
      </c>
      <c r="B106" t="s">
        <v>1874</v>
      </c>
      <c r="C106" t="s">
        <v>1356</v>
      </c>
      <c r="D106" t="s">
        <v>810</v>
      </c>
      <c r="E106" t="str">
        <f t="shared" si="1"/>
        <v>Elias Díaz</v>
      </c>
    </row>
    <row r="107" spans="1:5" x14ac:dyDescent="0.2">
      <c r="A107">
        <v>608348</v>
      </c>
      <c r="B107" t="s">
        <v>1785</v>
      </c>
      <c r="C107" t="s">
        <v>1374</v>
      </c>
      <c r="D107" t="s">
        <v>811</v>
      </c>
      <c r="E107" t="str">
        <f t="shared" si="1"/>
        <v>Carson Kelly</v>
      </c>
    </row>
    <row r="108" spans="1:5" x14ac:dyDescent="0.2">
      <c r="A108">
        <v>680474</v>
      </c>
      <c r="B108" t="s">
        <v>1875</v>
      </c>
      <c r="C108" t="s">
        <v>1375</v>
      </c>
      <c r="D108" t="s">
        <v>812</v>
      </c>
      <c r="E108" t="str">
        <f t="shared" si="1"/>
        <v>Max Schuemann</v>
      </c>
    </row>
    <row r="109" spans="1:5" x14ac:dyDescent="0.2">
      <c r="A109">
        <v>669221</v>
      </c>
      <c r="B109" t="s">
        <v>1876</v>
      </c>
      <c r="C109" t="s">
        <v>1376</v>
      </c>
      <c r="D109" t="s">
        <v>813</v>
      </c>
      <c r="E109" t="str">
        <f t="shared" si="1"/>
        <v>Sean Murphy</v>
      </c>
    </row>
    <row r="110" spans="1:5" x14ac:dyDescent="0.2">
      <c r="A110">
        <v>699625</v>
      </c>
      <c r="B110" t="s">
        <v>1877</v>
      </c>
      <c r="C110" t="s">
        <v>1377</v>
      </c>
      <c r="D110" t="s">
        <v>814</v>
      </c>
      <c r="E110" t="str">
        <f t="shared" si="1"/>
        <v>Jimmy Crooks</v>
      </c>
    </row>
    <row r="111" spans="1:5" x14ac:dyDescent="0.2">
      <c r="A111">
        <v>690984</v>
      </c>
      <c r="B111" t="s">
        <v>1878</v>
      </c>
      <c r="C111" t="s">
        <v>1378</v>
      </c>
      <c r="D111" t="s">
        <v>815</v>
      </c>
      <c r="E111" t="str">
        <f t="shared" si="1"/>
        <v>Petey Halpin</v>
      </c>
    </row>
    <row r="112" spans="1:5" x14ac:dyDescent="0.2">
      <c r="A112">
        <v>682657</v>
      </c>
      <c r="B112" t="s">
        <v>1879</v>
      </c>
      <c r="C112" t="s">
        <v>1379</v>
      </c>
      <c r="D112" t="s">
        <v>816</v>
      </c>
      <c r="E112" t="str">
        <f t="shared" si="1"/>
        <v>Angel Martínez</v>
      </c>
    </row>
    <row r="113" spans="1:5" x14ac:dyDescent="0.2">
      <c r="A113">
        <v>624512</v>
      </c>
      <c r="B113" t="s">
        <v>1880</v>
      </c>
      <c r="C113" t="s">
        <v>1380</v>
      </c>
      <c r="D113" t="s">
        <v>817</v>
      </c>
      <c r="E113" t="str">
        <f t="shared" si="1"/>
        <v>Reese McGuire</v>
      </c>
    </row>
    <row r="114" spans="1:5" x14ac:dyDescent="0.2">
      <c r="A114">
        <v>701538</v>
      </c>
      <c r="B114" t="s">
        <v>1277</v>
      </c>
      <c r="C114" t="s">
        <v>1381</v>
      </c>
      <c r="D114" t="s">
        <v>818</v>
      </c>
      <c r="E114" t="str">
        <f t="shared" si="1"/>
        <v>Jackson Merrill</v>
      </c>
    </row>
    <row r="115" spans="1:5" x14ac:dyDescent="0.2">
      <c r="A115">
        <v>672356</v>
      </c>
      <c r="B115" t="s">
        <v>1805</v>
      </c>
      <c r="C115" t="s">
        <v>1382</v>
      </c>
      <c r="D115" t="s">
        <v>819</v>
      </c>
      <c r="E115" t="str">
        <f t="shared" si="1"/>
        <v>Gabriel Arias</v>
      </c>
    </row>
    <row r="116" spans="1:5" x14ac:dyDescent="0.2">
      <c r="A116">
        <v>516782</v>
      </c>
      <c r="B116" t="s">
        <v>1881</v>
      </c>
      <c r="C116" t="s">
        <v>1383</v>
      </c>
      <c r="D116" t="s">
        <v>820</v>
      </c>
      <c r="E116" t="str">
        <f t="shared" si="1"/>
        <v>Starling Marte</v>
      </c>
    </row>
    <row r="117" spans="1:5" x14ac:dyDescent="0.2">
      <c r="A117">
        <v>686469</v>
      </c>
      <c r="B117" t="s">
        <v>1882</v>
      </c>
      <c r="C117" t="s">
        <v>1384</v>
      </c>
      <c r="D117" t="s">
        <v>821</v>
      </c>
      <c r="E117" t="str">
        <f t="shared" si="1"/>
        <v>Vinnie Pasquantino</v>
      </c>
    </row>
    <row r="118" spans="1:5" x14ac:dyDescent="0.2">
      <c r="A118">
        <v>691740</v>
      </c>
      <c r="B118" t="s">
        <v>1883</v>
      </c>
      <c r="C118" t="s">
        <v>1385</v>
      </c>
      <c r="D118" t="s">
        <v>822</v>
      </c>
      <c r="E118" t="str">
        <f t="shared" si="1"/>
        <v>Daniel Susac</v>
      </c>
    </row>
    <row r="119" spans="1:5" x14ac:dyDescent="0.2">
      <c r="A119">
        <v>694514</v>
      </c>
      <c r="B119" t="s">
        <v>1884</v>
      </c>
      <c r="C119" t="s">
        <v>1386</v>
      </c>
      <c r="D119" t="s">
        <v>823</v>
      </c>
      <c r="E119" t="str">
        <f t="shared" si="1"/>
        <v>Sterlin Thompson</v>
      </c>
    </row>
    <row r="120" spans="1:5" x14ac:dyDescent="0.2">
      <c r="A120">
        <v>663538</v>
      </c>
      <c r="B120" t="s">
        <v>1885</v>
      </c>
      <c r="C120" t="s">
        <v>1387</v>
      </c>
      <c r="D120" t="s">
        <v>824</v>
      </c>
      <c r="E120" t="str">
        <f t="shared" si="1"/>
        <v>Nico Hoerner</v>
      </c>
    </row>
    <row r="121" spans="1:5" x14ac:dyDescent="0.2">
      <c r="A121">
        <v>694876</v>
      </c>
      <c r="B121" t="s">
        <v>1886</v>
      </c>
      <c r="C121" t="s">
        <v>1388</v>
      </c>
      <c r="D121" t="s">
        <v>825</v>
      </c>
      <c r="E121" t="str">
        <f t="shared" si="1"/>
        <v>Cooper Ingle</v>
      </c>
    </row>
    <row r="122" spans="1:5" x14ac:dyDescent="0.2">
      <c r="A122">
        <v>682634</v>
      </c>
      <c r="B122" t="s">
        <v>1887</v>
      </c>
      <c r="C122" t="s">
        <v>1389</v>
      </c>
      <c r="D122" t="s">
        <v>826</v>
      </c>
      <c r="E122" t="str">
        <f t="shared" si="1"/>
        <v>Kevin Alcántara</v>
      </c>
    </row>
    <row r="123" spans="1:5" x14ac:dyDescent="0.2">
      <c r="A123">
        <v>666023</v>
      </c>
      <c r="B123" t="s">
        <v>1888</v>
      </c>
      <c r="C123" t="s">
        <v>1390</v>
      </c>
      <c r="D123" t="s">
        <v>827</v>
      </c>
      <c r="E123" t="str">
        <f t="shared" si="1"/>
        <v>Freddy Fermin</v>
      </c>
    </row>
    <row r="124" spans="1:5" x14ac:dyDescent="0.2">
      <c r="A124">
        <v>683146</v>
      </c>
      <c r="B124" t="s">
        <v>1889</v>
      </c>
      <c r="C124" t="s">
        <v>1391</v>
      </c>
      <c r="D124" t="s">
        <v>828</v>
      </c>
      <c r="E124" t="str">
        <f t="shared" si="1"/>
        <v>Brett Baty</v>
      </c>
    </row>
    <row r="125" spans="1:5" x14ac:dyDescent="0.2">
      <c r="A125">
        <v>665966</v>
      </c>
      <c r="B125" t="s">
        <v>1816</v>
      </c>
      <c r="C125" t="s">
        <v>1392</v>
      </c>
      <c r="D125" t="s">
        <v>829</v>
      </c>
      <c r="E125" t="str">
        <f t="shared" si="1"/>
        <v>Carlos Narváez</v>
      </c>
    </row>
    <row r="126" spans="1:5" x14ac:dyDescent="0.2">
      <c r="A126">
        <v>664761</v>
      </c>
      <c r="B126" t="s">
        <v>1890</v>
      </c>
      <c r="C126" t="s">
        <v>1393</v>
      </c>
      <c r="D126" t="s">
        <v>830</v>
      </c>
      <c r="E126" t="str">
        <f t="shared" si="1"/>
        <v>Alec Bohm</v>
      </c>
    </row>
    <row r="127" spans="1:5" x14ac:dyDescent="0.2">
      <c r="A127">
        <v>681546</v>
      </c>
      <c r="B127" t="s">
        <v>1891</v>
      </c>
      <c r="C127" t="s">
        <v>1394</v>
      </c>
      <c r="D127" t="s">
        <v>831</v>
      </c>
      <c r="E127" t="str">
        <f t="shared" si="1"/>
        <v>James Outman</v>
      </c>
    </row>
    <row r="128" spans="1:5" x14ac:dyDescent="0.2">
      <c r="A128">
        <v>676356</v>
      </c>
      <c r="B128" t="s">
        <v>1892</v>
      </c>
      <c r="C128" t="s">
        <v>1395</v>
      </c>
      <c r="D128" t="s">
        <v>832</v>
      </c>
      <c r="E128" t="str">
        <f t="shared" si="1"/>
        <v>Jonny DeLuca</v>
      </c>
    </row>
    <row r="129" spans="1:5" x14ac:dyDescent="0.2">
      <c r="A129">
        <v>678577</v>
      </c>
      <c r="B129" t="s">
        <v>1893</v>
      </c>
      <c r="C129" t="s">
        <v>1396</v>
      </c>
      <c r="D129" t="s">
        <v>833</v>
      </c>
      <c r="E129" t="str">
        <f t="shared" si="1"/>
        <v>Junior Perez</v>
      </c>
    </row>
    <row r="130" spans="1:5" x14ac:dyDescent="0.2">
      <c r="A130">
        <v>687093</v>
      </c>
      <c r="B130" t="s">
        <v>1284</v>
      </c>
      <c r="C130" t="s">
        <v>1397</v>
      </c>
      <c r="D130" t="s">
        <v>834</v>
      </c>
      <c r="E130" t="str">
        <f t="shared" si="1"/>
        <v>Vaughn Grissom</v>
      </c>
    </row>
    <row r="131" spans="1:5" x14ac:dyDescent="0.2">
      <c r="A131">
        <v>683083</v>
      </c>
      <c r="B131" t="s">
        <v>1894</v>
      </c>
      <c r="C131" t="s">
        <v>1398</v>
      </c>
      <c r="D131" t="s">
        <v>835</v>
      </c>
      <c r="E131" t="str">
        <f t="shared" ref="E131:E194" si="2">B131&amp;" "&amp;C131</f>
        <v>Nasim Nuñez</v>
      </c>
    </row>
    <row r="132" spans="1:5" x14ac:dyDescent="0.2">
      <c r="A132">
        <v>543807</v>
      </c>
      <c r="B132" t="s">
        <v>1895</v>
      </c>
      <c r="C132" t="s">
        <v>1399</v>
      </c>
      <c r="D132" t="s">
        <v>836</v>
      </c>
      <c r="E132" t="str">
        <f t="shared" si="2"/>
        <v>George Springer</v>
      </c>
    </row>
    <row r="133" spans="1:5" x14ac:dyDescent="0.2">
      <c r="A133">
        <v>669357</v>
      </c>
      <c r="B133" t="s">
        <v>1896</v>
      </c>
      <c r="C133" t="s">
        <v>1400</v>
      </c>
      <c r="D133" t="s">
        <v>837</v>
      </c>
      <c r="E133" t="str">
        <f t="shared" si="2"/>
        <v>Nolan Gorman</v>
      </c>
    </row>
    <row r="134" spans="1:5" x14ac:dyDescent="0.2">
      <c r="A134">
        <v>668930</v>
      </c>
      <c r="B134" t="s">
        <v>1897</v>
      </c>
      <c r="C134" t="s">
        <v>1401</v>
      </c>
      <c r="D134" t="s">
        <v>838</v>
      </c>
      <c r="E134" t="str">
        <f t="shared" si="2"/>
        <v>Brice Turang</v>
      </c>
    </row>
    <row r="135" spans="1:5" x14ac:dyDescent="0.2">
      <c r="A135">
        <v>671286</v>
      </c>
      <c r="B135" t="s">
        <v>1898</v>
      </c>
      <c r="C135" t="s">
        <v>1402</v>
      </c>
      <c r="D135" t="s">
        <v>839</v>
      </c>
      <c r="E135" t="str">
        <f t="shared" si="2"/>
        <v>Johnathan Rodríguez</v>
      </c>
    </row>
    <row r="136" spans="1:5" x14ac:dyDescent="0.2">
      <c r="A136">
        <v>694374</v>
      </c>
      <c r="B136" t="s">
        <v>1899</v>
      </c>
      <c r="C136" t="s">
        <v>1403</v>
      </c>
      <c r="D136" t="s">
        <v>840</v>
      </c>
      <c r="E136" t="str">
        <f t="shared" si="2"/>
        <v>Tim Tawa</v>
      </c>
    </row>
    <row r="137" spans="1:5" x14ac:dyDescent="0.2">
      <c r="A137">
        <v>643289</v>
      </c>
      <c r="B137" t="s">
        <v>1654</v>
      </c>
      <c r="C137" t="s">
        <v>1404</v>
      </c>
      <c r="D137" t="s">
        <v>841</v>
      </c>
      <c r="E137" t="str">
        <f t="shared" si="2"/>
        <v>Mauricio Dubón</v>
      </c>
    </row>
    <row r="138" spans="1:5" x14ac:dyDescent="0.2">
      <c r="A138">
        <v>682928</v>
      </c>
      <c r="B138" t="s">
        <v>1869</v>
      </c>
      <c r="C138" t="s">
        <v>1405</v>
      </c>
      <c r="D138" t="s">
        <v>842</v>
      </c>
      <c r="E138" t="str">
        <f t="shared" si="2"/>
        <v>CJ Abrams</v>
      </c>
    </row>
    <row r="139" spans="1:5" x14ac:dyDescent="0.2">
      <c r="A139">
        <v>657656</v>
      </c>
      <c r="B139" t="s">
        <v>1900</v>
      </c>
      <c r="C139" t="s">
        <v>1406</v>
      </c>
      <c r="D139" t="s">
        <v>843</v>
      </c>
      <c r="E139" t="str">
        <f t="shared" si="2"/>
        <v>Ramón Laureano</v>
      </c>
    </row>
    <row r="140" spans="1:5" x14ac:dyDescent="0.2">
      <c r="A140">
        <v>680737</v>
      </c>
      <c r="B140" t="s">
        <v>1901</v>
      </c>
      <c r="C140" t="s">
        <v>1407</v>
      </c>
      <c r="D140" t="s">
        <v>844</v>
      </c>
      <c r="E140" t="str">
        <f t="shared" si="2"/>
        <v>Michael Helman</v>
      </c>
    </row>
    <row r="141" spans="1:5" x14ac:dyDescent="0.2">
      <c r="A141">
        <v>657041</v>
      </c>
      <c r="B141" t="s">
        <v>1902</v>
      </c>
      <c r="C141" t="s">
        <v>1408</v>
      </c>
      <c r="D141" t="s">
        <v>845</v>
      </c>
      <c r="E141" t="str">
        <f t="shared" si="2"/>
        <v>Lane Thomas</v>
      </c>
    </row>
    <row r="142" spans="1:5" x14ac:dyDescent="0.2">
      <c r="A142">
        <v>663624</v>
      </c>
      <c r="B142" t="s">
        <v>1826</v>
      </c>
      <c r="C142" t="s">
        <v>1409</v>
      </c>
      <c r="D142" t="s">
        <v>846</v>
      </c>
      <c r="E142" t="str">
        <f t="shared" si="2"/>
        <v>Ryan Mountcastle</v>
      </c>
    </row>
    <row r="143" spans="1:5" x14ac:dyDescent="0.2">
      <c r="A143">
        <v>807713</v>
      </c>
      <c r="B143" t="s">
        <v>1832</v>
      </c>
      <c r="C143" t="s">
        <v>1410</v>
      </c>
      <c r="D143" t="s">
        <v>847</v>
      </c>
      <c r="E143" t="str">
        <f t="shared" si="2"/>
        <v>Matt Shaw</v>
      </c>
    </row>
    <row r="144" spans="1:5" x14ac:dyDescent="0.2">
      <c r="A144">
        <v>643376</v>
      </c>
      <c r="B144" t="s">
        <v>1903</v>
      </c>
      <c r="C144" t="s">
        <v>1411</v>
      </c>
      <c r="D144" t="s">
        <v>848</v>
      </c>
      <c r="E144" t="str">
        <f t="shared" si="2"/>
        <v>Danny Jansen</v>
      </c>
    </row>
    <row r="145" spans="1:5" x14ac:dyDescent="0.2">
      <c r="A145">
        <v>605170</v>
      </c>
      <c r="B145" t="s">
        <v>1904</v>
      </c>
      <c r="C145" t="s">
        <v>1412</v>
      </c>
      <c r="D145" t="s">
        <v>849</v>
      </c>
      <c r="E145" t="str">
        <f t="shared" si="2"/>
        <v>Victor Caratini</v>
      </c>
    </row>
    <row r="146" spans="1:5" x14ac:dyDescent="0.2">
      <c r="A146">
        <v>669242</v>
      </c>
      <c r="B146" t="s">
        <v>1905</v>
      </c>
      <c r="C146" t="s">
        <v>1413</v>
      </c>
      <c r="D146" t="s">
        <v>850</v>
      </c>
      <c r="E146" t="str">
        <f t="shared" si="2"/>
        <v>Tommy Edman</v>
      </c>
    </row>
    <row r="147" spans="1:5" x14ac:dyDescent="0.2">
      <c r="A147">
        <v>643217</v>
      </c>
      <c r="B147" t="s">
        <v>1795</v>
      </c>
      <c r="C147" t="s">
        <v>1414</v>
      </c>
      <c r="D147" t="s">
        <v>851</v>
      </c>
      <c r="E147" t="str">
        <f t="shared" si="2"/>
        <v>Andrew Benintendi</v>
      </c>
    </row>
    <row r="148" spans="1:5" x14ac:dyDescent="0.2">
      <c r="A148">
        <v>571657</v>
      </c>
      <c r="B148" t="s">
        <v>1836</v>
      </c>
      <c r="C148" t="s">
        <v>1415</v>
      </c>
      <c r="D148" t="s">
        <v>852</v>
      </c>
      <c r="E148" t="str">
        <f t="shared" si="2"/>
        <v>Kyle Farmer</v>
      </c>
    </row>
    <row r="149" spans="1:5" x14ac:dyDescent="0.2">
      <c r="A149">
        <v>670097</v>
      </c>
      <c r="B149" t="s">
        <v>1906</v>
      </c>
      <c r="C149" t="s">
        <v>1416</v>
      </c>
      <c r="D149" t="s">
        <v>853</v>
      </c>
      <c r="E149" t="str">
        <f t="shared" si="2"/>
        <v>Zack Short</v>
      </c>
    </row>
    <row r="150" spans="1:5" x14ac:dyDescent="0.2">
      <c r="A150">
        <v>700932</v>
      </c>
      <c r="B150" t="s">
        <v>1836</v>
      </c>
      <c r="C150" t="s">
        <v>1417</v>
      </c>
      <c r="D150" t="s">
        <v>854</v>
      </c>
      <c r="E150" t="str">
        <f t="shared" si="2"/>
        <v>Kyle Manzardo</v>
      </c>
    </row>
    <row r="151" spans="1:5" x14ac:dyDescent="0.2">
      <c r="A151">
        <v>650402</v>
      </c>
      <c r="B151" t="s">
        <v>1907</v>
      </c>
      <c r="C151" t="s">
        <v>1418</v>
      </c>
      <c r="D151" t="s">
        <v>855</v>
      </c>
      <c r="E151" t="str">
        <f t="shared" si="2"/>
        <v>Gleyber Torres</v>
      </c>
    </row>
    <row r="152" spans="1:5" x14ac:dyDescent="0.2">
      <c r="A152">
        <v>663968</v>
      </c>
      <c r="B152" t="s">
        <v>1808</v>
      </c>
      <c r="C152" t="s">
        <v>1419</v>
      </c>
      <c r="D152" t="s">
        <v>856</v>
      </c>
      <c r="E152" t="str">
        <f t="shared" si="2"/>
        <v>Jake Mangum</v>
      </c>
    </row>
    <row r="153" spans="1:5" x14ac:dyDescent="0.2">
      <c r="A153">
        <v>683002</v>
      </c>
      <c r="B153" t="s">
        <v>1908</v>
      </c>
      <c r="C153" t="s">
        <v>1420</v>
      </c>
      <c r="D153" t="s">
        <v>857</v>
      </c>
      <c r="E153" t="str">
        <f t="shared" si="2"/>
        <v>Gunnar Henderson</v>
      </c>
    </row>
    <row r="154" spans="1:5" x14ac:dyDescent="0.2">
      <c r="A154">
        <v>687263</v>
      </c>
      <c r="B154" t="s">
        <v>1852</v>
      </c>
      <c r="C154" t="s">
        <v>1421</v>
      </c>
      <c r="D154" t="s">
        <v>858</v>
      </c>
      <c r="E154" t="str">
        <f t="shared" si="2"/>
        <v>Zach Neto</v>
      </c>
    </row>
    <row r="155" spans="1:5" x14ac:dyDescent="0.2">
      <c r="A155">
        <v>542303</v>
      </c>
      <c r="B155" t="s">
        <v>1909</v>
      </c>
      <c r="C155" t="s">
        <v>1422</v>
      </c>
      <c r="D155" t="s">
        <v>859</v>
      </c>
      <c r="E155" t="str">
        <f t="shared" si="2"/>
        <v>Marcell Ozuna</v>
      </c>
    </row>
    <row r="156" spans="1:5" x14ac:dyDescent="0.2">
      <c r="A156">
        <v>642851</v>
      </c>
      <c r="B156" t="s">
        <v>1843</v>
      </c>
      <c r="C156" t="s">
        <v>1423</v>
      </c>
      <c r="D156" t="s">
        <v>860</v>
      </c>
      <c r="E156" t="str">
        <f t="shared" si="2"/>
        <v>Austin Wynns</v>
      </c>
    </row>
    <row r="157" spans="1:5" x14ac:dyDescent="0.2">
      <c r="A157">
        <v>667670</v>
      </c>
      <c r="B157" t="s">
        <v>1910</v>
      </c>
      <c r="C157" t="s">
        <v>1424</v>
      </c>
      <c r="D157" t="s">
        <v>861</v>
      </c>
      <c r="E157" t="str">
        <f t="shared" si="2"/>
        <v>Brent Rooker</v>
      </c>
    </row>
    <row r="158" spans="1:5" x14ac:dyDescent="0.2">
      <c r="A158">
        <v>668904</v>
      </c>
      <c r="B158" t="s">
        <v>1911</v>
      </c>
      <c r="C158" t="s">
        <v>1425</v>
      </c>
      <c r="D158" t="s">
        <v>862</v>
      </c>
      <c r="E158" t="str">
        <f t="shared" si="2"/>
        <v>Royce Lewis</v>
      </c>
    </row>
    <row r="159" spans="1:5" x14ac:dyDescent="0.2">
      <c r="A159">
        <v>650968</v>
      </c>
      <c r="B159" t="s">
        <v>1912</v>
      </c>
      <c r="C159" t="s">
        <v>1426</v>
      </c>
      <c r="D159" t="s">
        <v>863</v>
      </c>
      <c r="E159" t="str">
        <f t="shared" si="2"/>
        <v>Yohel Pozo</v>
      </c>
    </row>
    <row r="160" spans="1:5" x14ac:dyDescent="0.2">
      <c r="A160">
        <v>663993</v>
      </c>
      <c r="B160" t="s">
        <v>1913</v>
      </c>
      <c r="C160" t="s">
        <v>1427</v>
      </c>
      <c r="D160" t="s">
        <v>864</v>
      </c>
      <c r="E160" t="str">
        <f t="shared" si="2"/>
        <v>Nathaniel Lowe</v>
      </c>
    </row>
    <row r="161" spans="1:5" x14ac:dyDescent="0.2">
      <c r="A161">
        <v>608701</v>
      </c>
      <c r="B161" t="s">
        <v>1914</v>
      </c>
      <c r="C161" t="s">
        <v>1428</v>
      </c>
      <c r="D161" t="s">
        <v>865</v>
      </c>
      <c r="E161" t="str">
        <f t="shared" si="2"/>
        <v>Rob Refsnyder</v>
      </c>
    </row>
    <row r="162" spans="1:5" x14ac:dyDescent="0.2">
      <c r="A162">
        <v>660644</v>
      </c>
      <c r="B162" t="s">
        <v>1915</v>
      </c>
      <c r="C162" t="s">
        <v>1429</v>
      </c>
      <c r="D162" t="s">
        <v>866</v>
      </c>
      <c r="E162" t="str">
        <f t="shared" si="2"/>
        <v>Vidal Bruján</v>
      </c>
    </row>
    <row r="163" spans="1:5" x14ac:dyDescent="0.2">
      <c r="A163">
        <v>660844</v>
      </c>
      <c r="B163" t="s">
        <v>1916</v>
      </c>
      <c r="C163" t="s">
        <v>1430</v>
      </c>
      <c r="D163" t="s">
        <v>867</v>
      </c>
      <c r="E163" t="str">
        <f t="shared" si="2"/>
        <v>Leo Rivas</v>
      </c>
    </row>
    <row r="164" spans="1:5" x14ac:dyDescent="0.2">
      <c r="A164">
        <v>668227</v>
      </c>
      <c r="B164" t="s">
        <v>1917</v>
      </c>
      <c r="C164" t="s">
        <v>1431</v>
      </c>
      <c r="D164" t="s">
        <v>868</v>
      </c>
      <c r="E164" t="str">
        <f t="shared" si="2"/>
        <v>Randy Arozarena</v>
      </c>
    </row>
    <row r="165" spans="1:5" x14ac:dyDescent="0.2">
      <c r="A165">
        <v>700250</v>
      </c>
      <c r="B165" t="s">
        <v>1918</v>
      </c>
      <c r="C165" t="s">
        <v>1432</v>
      </c>
      <c r="D165" t="s">
        <v>869</v>
      </c>
      <c r="E165" t="str">
        <f t="shared" si="2"/>
        <v>Ben Rice</v>
      </c>
    </row>
    <row r="166" spans="1:5" x14ac:dyDescent="0.2">
      <c r="A166">
        <v>663611</v>
      </c>
      <c r="B166" t="s">
        <v>1919</v>
      </c>
      <c r="C166" t="s">
        <v>1433</v>
      </c>
      <c r="D166" t="s">
        <v>870</v>
      </c>
      <c r="E166" t="str">
        <f t="shared" si="2"/>
        <v>Nick Madrigal</v>
      </c>
    </row>
    <row r="167" spans="1:5" x14ac:dyDescent="0.2">
      <c r="A167">
        <v>660670</v>
      </c>
      <c r="B167" t="s">
        <v>1920</v>
      </c>
      <c r="C167" t="s">
        <v>1434</v>
      </c>
      <c r="D167" t="s">
        <v>871</v>
      </c>
      <c r="E167" t="str">
        <f t="shared" si="2"/>
        <v>Ronald Acuña Jr.</v>
      </c>
    </row>
    <row r="168" spans="1:5" x14ac:dyDescent="0.2">
      <c r="A168">
        <v>678391</v>
      </c>
      <c r="B168" t="s">
        <v>1921</v>
      </c>
      <c r="C168" t="s">
        <v>1435</v>
      </c>
      <c r="D168" t="s">
        <v>872</v>
      </c>
      <c r="E168" t="str">
        <f t="shared" si="2"/>
        <v>Jorbit Vivas</v>
      </c>
    </row>
    <row r="169" spans="1:5" x14ac:dyDescent="0.2">
      <c r="A169">
        <v>592885</v>
      </c>
      <c r="B169" t="s">
        <v>1922</v>
      </c>
      <c r="C169" t="s">
        <v>1436</v>
      </c>
      <c r="D169" t="s">
        <v>873</v>
      </c>
      <c r="E169" t="str">
        <f t="shared" si="2"/>
        <v>Christian Yelich</v>
      </c>
    </row>
    <row r="170" spans="1:5" x14ac:dyDescent="0.2">
      <c r="A170">
        <v>800050</v>
      </c>
      <c r="B170" t="s">
        <v>1790</v>
      </c>
      <c r="C170" t="s">
        <v>1437</v>
      </c>
      <c r="D170" t="s">
        <v>874</v>
      </c>
      <c r="E170" t="str">
        <f t="shared" si="2"/>
        <v>Chase DeLauter</v>
      </c>
    </row>
    <row r="171" spans="1:5" x14ac:dyDescent="0.2">
      <c r="A171">
        <v>681351</v>
      </c>
      <c r="B171" t="s">
        <v>1923</v>
      </c>
      <c r="C171" t="s">
        <v>1438</v>
      </c>
      <c r="D171" t="s">
        <v>875</v>
      </c>
      <c r="E171" t="str">
        <f t="shared" si="2"/>
        <v>Logan O'Hoppe</v>
      </c>
    </row>
    <row r="172" spans="1:5" x14ac:dyDescent="0.2">
      <c r="A172">
        <v>691016</v>
      </c>
      <c r="B172" t="s">
        <v>1839</v>
      </c>
      <c r="C172" t="s">
        <v>1439</v>
      </c>
      <c r="D172" t="s">
        <v>876</v>
      </c>
      <c r="E172" t="str">
        <f t="shared" si="2"/>
        <v>Tyler Soderstrom</v>
      </c>
    </row>
    <row r="173" spans="1:5" x14ac:dyDescent="0.2">
      <c r="A173">
        <v>699912</v>
      </c>
      <c r="B173" t="s">
        <v>1866</v>
      </c>
      <c r="C173" t="s">
        <v>1440</v>
      </c>
      <c r="D173" t="s">
        <v>877</v>
      </c>
      <c r="E173" t="str">
        <f t="shared" si="2"/>
        <v>Jose Fernandez</v>
      </c>
    </row>
    <row r="174" spans="1:5" x14ac:dyDescent="0.2">
      <c r="A174">
        <v>693459</v>
      </c>
      <c r="B174" t="s">
        <v>1924</v>
      </c>
      <c r="C174" t="s">
        <v>1441</v>
      </c>
      <c r="D174" t="s">
        <v>878</v>
      </c>
      <c r="E174" t="str">
        <f t="shared" si="2"/>
        <v>Kyler Fedko</v>
      </c>
    </row>
    <row r="175" spans="1:5" x14ac:dyDescent="0.2">
      <c r="A175">
        <v>642215</v>
      </c>
      <c r="B175" t="s">
        <v>1925</v>
      </c>
      <c r="C175" t="s">
        <v>1442</v>
      </c>
      <c r="D175" t="s">
        <v>879</v>
      </c>
      <c r="E175" t="str">
        <f t="shared" si="2"/>
        <v>Weston Wilson</v>
      </c>
    </row>
    <row r="176" spans="1:5" x14ac:dyDescent="0.2">
      <c r="A176">
        <v>665742</v>
      </c>
      <c r="B176" t="s">
        <v>1837</v>
      </c>
      <c r="C176" t="s">
        <v>1443</v>
      </c>
      <c r="D176" t="s">
        <v>880</v>
      </c>
      <c r="E176" t="str">
        <f t="shared" si="2"/>
        <v>Juan Soto</v>
      </c>
    </row>
    <row r="177" spans="1:5" x14ac:dyDescent="0.2">
      <c r="A177">
        <v>675659</v>
      </c>
      <c r="B177" t="s">
        <v>1926</v>
      </c>
      <c r="C177" t="s">
        <v>1444</v>
      </c>
      <c r="D177" t="s">
        <v>881</v>
      </c>
      <c r="E177" t="str">
        <f t="shared" si="2"/>
        <v>Greg Jones</v>
      </c>
    </row>
    <row r="178" spans="1:5" x14ac:dyDescent="0.2">
      <c r="A178">
        <v>687462</v>
      </c>
      <c r="B178" t="s">
        <v>1828</v>
      </c>
      <c r="C178" t="s">
        <v>1445</v>
      </c>
      <c r="D178" t="s">
        <v>882</v>
      </c>
      <c r="E178" t="str">
        <f t="shared" si="2"/>
        <v>Spencer Horwitz</v>
      </c>
    </row>
    <row r="179" spans="1:5" x14ac:dyDescent="0.2">
      <c r="A179">
        <v>695490</v>
      </c>
      <c r="B179" t="s">
        <v>1927</v>
      </c>
      <c r="C179" t="s">
        <v>1446</v>
      </c>
      <c r="D179" t="s">
        <v>883</v>
      </c>
      <c r="E179" t="str">
        <f t="shared" si="2"/>
        <v>Edwin Arroyo</v>
      </c>
    </row>
    <row r="180" spans="1:5" x14ac:dyDescent="0.2">
      <c r="A180">
        <v>664954</v>
      </c>
      <c r="B180" t="s">
        <v>1889</v>
      </c>
      <c r="C180" t="s">
        <v>1447</v>
      </c>
      <c r="D180" t="s">
        <v>884</v>
      </c>
      <c r="E180" t="str">
        <f t="shared" si="2"/>
        <v>Brett Sullivan</v>
      </c>
    </row>
    <row r="181" spans="1:5" x14ac:dyDescent="0.2">
      <c r="A181">
        <v>695578</v>
      </c>
      <c r="B181" t="s">
        <v>1891</v>
      </c>
      <c r="C181" t="s">
        <v>1448</v>
      </c>
      <c r="D181" t="s">
        <v>885</v>
      </c>
      <c r="E181" t="str">
        <f t="shared" si="2"/>
        <v>James Wood</v>
      </c>
    </row>
    <row r="182" spans="1:5" x14ac:dyDescent="0.2">
      <c r="A182">
        <v>694384</v>
      </c>
      <c r="B182" t="s">
        <v>1896</v>
      </c>
      <c r="C182" t="s">
        <v>1449</v>
      </c>
      <c r="D182" t="s">
        <v>886</v>
      </c>
      <c r="E182" t="str">
        <f t="shared" si="2"/>
        <v>Nolan Schanuel</v>
      </c>
    </row>
    <row r="183" spans="1:5" x14ac:dyDescent="0.2">
      <c r="A183">
        <v>682668</v>
      </c>
      <c r="B183" t="s">
        <v>1928</v>
      </c>
      <c r="C183" t="s">
        <v>1450</v>
      </c>
      <c r="D183" t="s">
        <v>887</v>
      </c>
      <c r="E183" t="str">
        <f t="shared" si="2"/>
        <v>Luisangel Acuña</v>
      </c>
    </row>
    <row r="184" spans="1:5" x14ac:dyDescent="0.2">
      <c r="A184">
        <v>687515</v>
      </c>
      <c r="B184" t="s">
        <v>1929</v>
      </c>
      <c r="C184" t="s">
        <v>1408</v>
      </c>
      <c r="D184" t="s">
        <v>888</v>
      </c>
      <c r="E184" t="str">
        <f t="shared" si="2"/>
        <v>Colby Thomas</v>
      </c>
    </row>
    <row r="185" spans="1:5" x14ac:dyDescent="0.2">
      <c r="A185">
        <v>669004</v>
      </c>
      <c r="B185" t="s">
        <v>1930</v>
      </c>
      <c r="C185" t="s">
        <v>1451</v>
      </c>
      <c r="D185" t="s">
        <v>889</v>
      </c>
      <c r="E185" t="str">
        <f t="shared" si="2"/>
        <v>MJ Melendez</v>
      </c>
    </row>
    <row r="186" spans="1:5" x14ac:dyDescent="0.2">
      <c r="A186">
        <v>665804</v>
      </c>
      <c r="B186" t="s">
        <v>1931</v>
      </c>
      <c r="C186" t="s">
        <v>1452</v>
      </c>
      <c r="D186" t="s">
        <v>890</v>
      </c>
      <c r="E186" t="str">
        <f t="shared" si="2"/>
        <v>Miguel Amaya</v>
      </c>
    </row>
    <row r="187" spans="1:5" x14ac:dyDescent="0.2">
      <c r="A187">
        <v>672724</v>
      </c>
      <c r="B187" t="s">
        <v>1932</v>
      </c>
      <c r="C187" t="s">
        <v>1453</v>
      </c>
      <c r="D187" t="s">
        <v>891</v>
      </c>
      <c r="E187" t="str">
        <f t="shared" si="2"/>
        <v>Oswald Peraza</v>
      </c>
    </row>
    <row r="188" spans="1:5" x14ac:dyDescent="0.2">
      <c r="A188">
        <v>694208</v>
      </c>
      <c r="B188" t="s">
        <v>1933</v>
      </c>
      <c r="C188" t="s">
        <v>1454</v>
      </c>
      <c r="D188" t="s">
        <v>892</v>
      </c>
      <c r="E188" t="str">
        <f t="shared" si="2"/>
        <v>Moisés Ballesteros</v>
      </c>
    </row>
    <row r="189" spans="1:5" x14ac:dyDescent="0.2">
      <c r="A189">
        <v>596019</v>
      </c>
      <c r="B189" t="s">
        <v>1934</v>
      </c>
      <c r="C189" t="s">
        <v>1455</v>
      </c>
      <c r="D189" t="s">
        <v>893</v>
      </c>
      <c r="E189" t="str">
        <f t="shared" si="2"/>
        <v>Francisco Lindor</v>
      </c>
    </row>
    <row r="190" spans="1:5" x14ac:dyDescent="0.2">
      <c r="A190">
        <v>662139</v>
      </c>
      <c r="B190" t="s">
        <v>1935</v>
      </c>
      <c r="C190" t="s">
        <v>1456</v>
      </c>
      <c r="D190" t="s">
        <v>894</v>
      </c>
      <c r="E190" t="str">
        <f t="shared" si="2"/>
        <v>Daulton Varsho</v>
      </c>
    </row>
    <row r="191" spans="1:5" x14ac:dyDescent="0.2">
      <c r="A191">
        <v>676572</v>
      </c>
      <c r="B191" t="s">
        <v>1936</v>
      </c>
      <c r="C191" t="s">
        <v>1457</v>
      </c>
      <c r="D191" t="s">
        <v>895</v>
      </c>
      <c r="E191" t="str">
        <f t="shared" si="2"/>
        <v>Eric Wagaman</v>
      </c>
    </row>
    <row r="192" spans="1:5" x14ac:dyDescent="0.2">
      <c r="A192">
        <v>665923</v>
      </c>
      <c r="B192" t="s">
        <v>1937</v>
      </c>
      <c r="C192" t="s">
        <v>1458</v>
      </c>
      <c r="D192" t="s">
        <v>896</v>
      </c>
      <c r="E192" t="str">
        <f t="shared" si="2"/>
        <v>Esteury Ruiz</v>
      </c>
    </row>
    <row r="193" spans="1:5" x14ac:dyDescent="0.2">
      <c r="A193">
        <v>687282</v>
      </c>
      <c r="B193" t="s">
        <v>1805</v>
      </c>
      <c r="C193" t="s">
        <v>1459</v>
      </c>
      <c r="D193" t="s">
        <v>897</v>
      </c>
      <c r="E193" t="str">
        <f t="shared" si="2"/>
        <v>Gabriel Rincones Jr.</v>
      </c>
    </row>
    <row r="194" spans="1:5" x14ac:dyDescent="0.2">
      <c r="A194">
        <v>691783</v>
      </c>
      <c r="B194" t="s">
        <v>1518</v>
      </c>
      <c r="C194" t="s">
        <v>1460</v>
      </c>
      <c r="D194" t="s">
        <v>898</v>
      </c>
      <c r="E194" t="str">
        <f t="shared" si="2"/>
        <v>Jordan Lawlar</v>
      </c>
    </row>
    <row r="195" spans="1:5" x14ac:dyDescent="0.2">
      <c r="A195">
        <v>678662</v>
      </c>
      <c r="B195" t="s">
        <v>1938</v>
      </c>
      <c r="C195" t="s">
        <v>1461</v>
      </c>
      <c r="D195" t="s">
        <v>899</v>
      </c>
      <c r="E195" t="str">
        <f t="shared" ref="E195:E258" si="3">B195&amp;" "&amp;C195</f>
        <v>Ezequiel Tovar</v>
      </c>
    </row>
    <row r="196" spans="1:5" x14ac:dyDescent="0.2">
      <c r="A196">
        <v>813841</v>
      </c>
      <c r="B196" t="s">
        <v>1939</v>
      </c>
      <c r="C196" t="s">
        <v>1462</v>
      </c>
      <c r="D196" t="s">
        <v>900</v>
      </c>
      <c r="E196" t="str">
        <f t="shared" si="3"/>
        <v>Jonah Cox</v>
      </c>
    </row>
    <row r="197" spans="1:5" x14ac:dyDescent="0.2">
      <c r="A197">
        <v>687363</v>
      </c>
      <c r="B197" t="s">
        <v>1904</v>
      </c>
      <c r="C197" t="s">
        <v>1463</v>
      </c>
      <c r="D197" t="s">
        <v>901</v>
      </c>
      <c r="E197" t="str">
        <f t="shared" si="3"/>
        <v>Victor Scott II</v>
      </c>
    </row>
    <row r="198" spans="1:5" x14ac:dyDescent="0.2">
      <c r="A198">
        <v>703492</v>
      </c>
      <c r="B198" t="s">
        <v>1919</v>
      </c>
      <c r="C198" t="s">
        <v>1464</v>
      </c>
      <c r="D198" t="s">
        <v>902</v>
      </c>
      <c r="E198" t="str">
        <f t="shared" si="3"/>
        <v>Nick Morabito</v>
      </c>
    </row>
    <row r="199" spans="1:5" x14ac:dyDescent="0.2">
      <c r="A199">
        <v>663743</v>
      </c>
      <c r="B199" t="s">
        <v>1919</v>
      </c>
      <c r="C199" t="s">
        <v>1465</v>
      </c>
      <c r="D199" t="s">
        <v>903</v>
      </c>
      <c r="E199" t="str">
        <f t="shared" si="3"/>
        <v>Nick Fortes</v>
      </c>
    </row>
    <row r="200" spans="1:5" x14ac:dyDescent="0.2">
      <c r="A200">
        <v>701305</v>
      </c>
      <c r="B200" t="s">
        <v>1852</v>
      </c>
      <c r="C200" t="s">
        <v>1466</v>
      </c>
      <c r="D200" t="s">
        <v>904</v>
      </c>
      <c r="E200" t="str">
        <f t="shared" si="3"/>
        <v>Zach Dezenzo</v>
      </c>
    </row>
    <row r="201" spans="1:5" x14ac:dyDescent="0.2">
      <c r="A201">
        <v>606466</v>
      </c>
      <c r="B201" t="s">
        <v>1940</v>
      </c>
      <c r="C201" t="s">
        <v>1383</v>
      </c>
      <c r="D201" t="s">
        <v>905</v>
      </c>
      <c r="E201" t="str">
        <f t="shared" si="3"/>
        <v>Ketel Marte</v>
      </c>
    </row>
    <row r="202" spans="1:5" x14ac:dyDescent="0.2">
      <c r="A202">
        <v>571970</v>
      </c>
      <c r="B202" t="s">
        <v>1875</v>
      </c>
      <c r="C202" t="s">
        <v>1467</v>
      </c>
      <c r="D202" t="s">
        <v>906</v>
      </c>
      <c r="E202" t="str">
        <f t="shared" si="3"/>
        <v>Max Muncy</v>
      </c>
    </row>
    <row r="203" spans="1:5" x14ac:dyDescent="0.2">
      <c r="A203">
        <v>666310</v>
      </c>
      <c r="B203" t="s">
        <v>1941</v>
      </c>
      <c r="C203" t="s">
        <v>1468</v>
      </c>
      <c r="D203" t="s">
        <v>907</v>
      </c>
      <c r="E203" t="str">
        <f t="shared" si="3"/>
        <v>Bo Naylor</v>
      </c>
    </row>
    <row r="204" spans="1:5" x14ac:dyDescent="0.2">
      <c r="A204">
        <v>592450</v>
      </c>
      <c r="B204" t="s">
        <v>1942</v>
      </c>
      <c r="C204" t="s">
        <v>1469</v>
      </c>
      <c r="D204" t="s">
        <v>908</v>
      </c>
      <c r="E204" t="str">
        <f t="shared" si="3"/>
        <v>Aaron Judge</v>
      </c>
    </row>
    <row r="205" spans="1:5" x14ac:dyDescent="0.2">
      <c r="A205">
        <v>669087</v>
      </c>
      <c r="B205" t="s">
        <v>1943</v>
      </c>
      <c r="C205" t="s">
        <v>1470</v>
      </c>
      <c r="D205" t="s">
        <v>909</v>
      </c>
      <c r="E205" t="str">
        <f t="shared" si="3"/>
        <v>Sam Huff</v>
      </c>
    </row>
    <row r="206" spans="1:5" x14ac:dyDescent="0.2">
      <c r="A206">
        <v>695506</v>
      </c>
      <c r="B206" t="s">
        <v>1944</v>
      </c>
      <c r="C206" t="s">
        <v>1471</v>
      </c>
      <c r="D206" t="s">
        <v>910</v>
      </c>
      <c r="E206" t="str">
        <f t="shared" si="3"/>
        <v>Jac Caglianone</v>
      </c>
    </row>
    <row r="207" spans="1:5" x14ac:dyDescent="0.2">
      <c r="A207">
        <v>701350</v>
      </c>
      <c r="B207" t="s">
        <v>1945</v>
      </c>
      <c r="C207" t="s">
        <v>1472</v>
      </c>
      <c r="D207" t="s">
        <v>911</v>
      </c>
      <c r="E207" t="str">
        <f t="shared" si="3"/>
        <v>Roman Anthony</v>
      </c>
    </row>
    <row r="208" spans="1:5" x14ac:dyDescent="0.2">
      <c r="A208">
        <v>680757</v>
      </c>
      <c r="B208" t="s">
        <v>1946</v>
      </c>
      <c r="C208" t="s">
        <v>1473</v>
      </c>
      <c r="D208" t="s">
        <v>912</v>
      </c>
      <c r="E208" t="str">
        <f t="shared" si="3"/>
        <v>Steven Kwan</v>
      </c>
    </row>
    <row r="209" spans="1:5" x14ac:dyDescent="0.2">
      <c r="A209">
        <v>687597</v>
      </c>
      <c r="B209" t="s">
        <v>1518</v>
      </c>
      <c r="C209" t="s">
        <v>1474</v>
      </c>
      <c r="D209" t="s">
        <v>913</v>
      </c>
      <c r="E209" t="str">
        <f t="shared" si="3"/>
        <v>Jordan Beck</v>
      </c>
    </row>
    <row r="210" spans="1:5" x14ac:dyDescent="0.2">
      <c r="A210">
        <v>502671</v>
      </c>
      <c r="B210" t="s">
        <v>1947</v>
      </c>
      <c r="C210" t="s">
        <v>1475</v>
      </c>
      <c r="D210" t="s">
        <v>914</v>
      </c>
      <c r="E210" t="str">
        <f t="shared" si="3"/>
        <v>Paul Goldschmidt</v>
      </c>
    </row>
    <row r="211" spans="1:5" x14ac:dyDescent="0.2">
      <c r="A211">
        <v>666176</v>
      </c>
      <c r="B211" t="s">
        <v>1948</v>
      </c>
      <c r="C211" t="s">
        <v>1476</v>
      </c>
      <c r="D211" t="s">
        <v>915</v>
      </c>
      <c r="E211" t="str">
        <f t="shared" si="3"/>
        <v>Jo Adell</v>
      </c>
    </row>
    <row r="212" spans="1:5" x14ac:dyDescent="0.2">
      <c r="A212">
        <v>671218</v>
      </c>
      <c r="B212" t="s">
        <v>1949</v>
      </c>
      <c r="C212" t="s">
        <v>1477</v>
      </c>
      <c r="D212" t="s">
        <v>916</v>
      </c>
      <c r="E212" t="str">
        <f t="shared" si="3"/>
        <v>Heliot Ramos</v>
      </c>
    </row>
    <row r="213" spans="1:5" x14ac:dyDescent="0.2">
      <c r="A213">
        <v>675961</v>
      </c>
      <c r="B213" t="s">
        <v>1950</v>
      </c>
      <c r="C213" t="s">
        <v>1274</v>
      </c>
      <c r="D213" t="s">
        <v>917</v>
      </c>
      <c r="E213" t="str">
        <f t="shared" si="3"/>
        <v>Alika Williams</v>
      </c>
    </row>
    <row r="214" spans="1:5" x14ac:dyDescent="0.2">
      <c r="A214">
        <v>683357</v>
      </c>
      <c r="B214" t="s">
        <v>1951</v>
      </c>
      <c r="C214" t="s">
        <v>1478</v>
      </c>
      <c r="D214" t="s">
        <v>918</v>
      </c>
      <c r="E214" t="str">
        <f t="shared" si="3"/>
        <v>Owen Caissie</v>
      </c>
    </row>
    <row r="215" spans="1:5" x14ac:dyDescent="0.2">
      <c r="A215">
        <v>656941</v>
      </c>
      <c r="B215" t="s">
        <v>1836</v>
      </c>
      <c r="C215" t="s">
        <v>1479</v>
      </c>
      <c r="D215" t="s">
        <v>919</v>
      </c>
      <c r="E215" t="str">
        <f t="shared" si="3"/>
        <v>Kyle Schwarber</v>
      </c>
    </row>
    <row r="216" spans="1:5" x14ac:dyDescent="0.2">
      <c r="A216">
        <v>691176</v>
      </c>
      <c r="B216" t="s">
        <v>1952</v>
      </c>
      <c r="C216" t="s">
        <v>1480</v>
      </c>
      <c r="D216" t="s">
        <v>920</v>
      </c>
      <c r="E216" t="str">
        <f t="shared" si="3"/>
        <v>Jasson Domínguez</v>
      </c>
    </row>
    <row r="217" spans="1:5" x14ac:dyDescent="0.2">
      <c r="A217">
        <v>693409</v>
      </c>
      <c r="B217" t="s">
        <v>1798</v>
      </c>
      <c r="C217" t="s">
        <v>1481</v>
      </c>
      <c r="D217" t="s">
        <v>921</v>
      </c>
      <c r="E217" t="str">
        <f t="shared" si="3"/>
        <v>César Prieto</v>
      </c>
    </row>
    <row r="218" spans="1:5" x14ac:dyDescent="0.2">
      <c r="A218">
        <v>686894</v>
      </c>
      <c r="B218" t="s">
        <v>1953</v>
      </c>
      <c r="C218" t="s">
        <v>1482</v>
      </c>
      <c r="D218" t="s">
        <v>922</v>
      </c>
      <c r="E218" t="str">
        <f t="shared" si="3"/>
        <v>Joey Wiemer</v>
      </c>
    </row>
    <row r="219" spans="1:5" x14ac:dyDescent="0.2">
      <c r="A219">
        <v>543760</v>
      </c>
      <c r="B219" t="s">
        <v>1954</v>
      </c>
      <c r="C219" t="s">
        <v>1483</v>
      </c>
      <c r="D219" t="s">
        <v>923</v>
      </c>
      <c r="E219" t="str">
        <f t="shared" si="3"/>
        <v>Marcus Semien</v>
      </c>
    </row>
    <row r="220" spans="1:5" x14ac:dyDescent="0.2">
      <c r="A220">
        <v>805300</v>
      </c>
      <c r="B220" t="s">
        <v>1955</v>
      </c>
      <c r="C220" t="s">
        <v>1484</v>
      </c>
      <c r="D220" t="s">
        <v>924</v>
      </c>
      <c r="E220" t="str">
        <f t="shared" si="3"/>
        <v>Jakob Marsee</v>
      </c>
    </row>
    <row r="221" spans="1:5" x14ac:dyDescent="0.2">
      <c r="A221">
        <v>573262</v>
      </c>
      <c r="B221" t="s">
        <v>1956</v>
      </c>
      <c r="C221" t="s">
        <v>1485</v>
      </c>
      <c r="D221" t="s">
        <v>925</v>
      </c>
      <c r="E221" t="str">
        <f t="shared" si="3"/>
        <v>Mike Yastrzemski</v>
      </c>
    </row>
    <row r="222" spans="1:5" x14ac:dyDescent="0.2">
      <c r="A222">
        <v>545341</v>
      </c>
      <c r="B222" t="s">
        <v>1957</v>
      </c>
      <c r="C222" t="s">
        <v>1486</v>
      </c>
      <c r="D222" t="s">
        <v>926</v>
      </c>
      <c r="E222" t="str">
        <f t="shared" si="3"/>
        <v>Randal Grichuk</v>
      </c>
    </row>
    <row r="223" spans="1:5" x14ac:dyDescent="0.2">
      <c r="A223">
        <v>623168</v>
      </c>
      <c r="B223" t="s">
        <v>1839</v>
      </c>
      <c r="C223" t="s">
        <v>1487</v>
      </c>
      <c r="D223" t="s">
        <v>927</v>
      </c>
      <c r="E223" t="str">
        <f t="shared" si="3"/>
        <v>Tyler Heineman</v>
      </c>
    </row>
    <row r="224" spans="1:5" x14ac:dyDescent="0.2">
      <c r="A224">
        <v>656537</v>
      </c>
      <c r="B224" t="s">
        <v>1958</v>
      </c>
      <c r="C224" t="s">
        <v>1488</v>
      </c>
      <c r="D224" t="s">
        <v>928</v>
      </c>
      <c r="E224" t="str">
        <f t="shared" si="3"/>
        <v>Derek Hill</v>
      </c>
    </row>
    <row r="225" spans="1:5" x14ac:dyDescent="0.2">
      <c r="A225">
        <v>553993</v>
      </c>
      <c r="B225" t="s">
        <v>1959</v>
      </c>
      <c r="C225" t="s">
        <v>1489</v>
      </c>
      <c r="D225" t="s">
        <v>929</v>
      </c>
      <c r="E225" t="str">
        <f t="shared" si="3"/>
        <v>Eugenio Suárez</v>
      </c>
    </row>
    <row r="226" spans="1:5" x14ac:dyDescent="0.2">
      <c r="A226">
        <v>622761</v>
      </c>
      <c r="B226" t="s">
        <v>1793</v>
      </c>
      <c r="C226" t="s">
        <v>1490</v>
      </c>
      <c r="D226" t="s">
        <v>930</v>
      </c>
      <c r="E226" t="str">
        <f t="shared" si="3"/>
        <v>Jorge Mateo</v>
      </c>
    </row>
    <row r="227" spans="1:5" x14ac:dyDescent="0.2">
      <c r="A227">
        <v>669208</v>
      </c>
      <c r="B227" t="s">
        <v>1826</v>
      </c>
      <c r="C227" t="s">
        <v>1491</v>
      </c>
      <c r="D227" t="s">
        <v>931</v>
      </c>
      <c r="E227" t="str">
        <f t="shared" si="3"/>
        <v>Ryan Bliss</v>
      </c>
    </row>
    <row r="228" spans="1:5" x14ac:dyDescent="0.2">
      <c r="A228">
        <v>595879</v>
      </c>
      <c r="B228" t="s">
        <v>1960</v>
      </c>
      <c r="C228" t="s">
        <v>1492</v>
      </c>
      <c r="D228" t="s">
        <v>932</v>
      </c>
      <c r="E228" t="str">
        <f t="shared" si="3"/>
        <v>Javier Báez</v>
      </c>
    </row>
    <row r="229" spans="1:5" x14ac:dyDescent="0.2">
      <c r="A229">
        <v>672960</v>
      </c>
      <c r="B229" t="s">
        <v>1961</v>
      </c>
      <c r="C229" t="s">
        <v>1493</v>
      </c>
      <c r="D229" t="s">
        <v>933</v>
      </c>
      <c r="E229" t="str">
        <f t="shared" si="3"/>
        <v>Kazuma Okamoto</v>
      </c>
    </row>
    <row r="230" spans="1:5" x14ac:dyDescent="0.2">
      <c r="A230">
        <v>669397</v>
      </c>
      <c r="B230" t="s">
        <v>1919</v>
      </c>
      <c r="C230" t="s">
        <v>1494</v>
      </c>
      <c r="D230" t="s">
        <v>934</v>
      </c>
      <c r="E230" t="str">
        <f t="shared" si="3"/>
        <v>Nick Allen</v>
      </c>
    </row>
    <row r="231" spans="1:5" x14ac:dyDescent="0.2">
      <c r="A231">
        <v>609280</v>
      </c>
      <c r="B231" t="s">
        <v>1931</v>
      </c>
      <c r="C231" t="s">
        <v>1495</v>
      </c>
      <c r="D231" t="s">
        <v>935</v>
      </c>
      <c r="E231" t="str">
        <f t="shared" si="3"/>
        <v>Miguel Andujar</v>
      </c>
    </row>
    <row r="232" spans="1:5" x14ac:dyDescent="0.2">
      <c r="A232">
        <v>676439</v>
      </c>
      <c r="B232" t="s">
        <v>1854</v>
      </c>
      <c r="C232" t="s">
        <v>1496</v>
      </c>
      <c r="D232" t="s">
        <v>936</v>
      </c>
      <c r="E232" t="str">
        <f t="shared" si="3"/>
        <v>Hunter Feduccia</v>
      </c>
    </row>
    <row r="233" spans="1:5" x14ac:dyDescent="0.2">
      <c r="A233">
        <v>701162</v>
      </c>
      <c r="B233" t="s">
        <v>1918</v>
      </c>
      <c r="C233" t="s">
        <v>1497</v>
      </c>
      <c r="D233" t="s">
        <v>937</v>
      </c>
      <c r="E233" t="str">
        <f t="shared" si="3"/>
        <v>Ben Malgeri</v>
      </c>
    </row>
    <row r="234" spans="1:5" x14ac:dyDescent="0.2">
      <c r="A234">
        <v>680728</v>
      </c>
      <c r="B234" t="s">
        <v>1962</v>
      </c>
      <c r="C234" t="s">
        <v>1498</v>
      </c>
      <c r="D234" t="s">
        <v>938</v>
      </c>
      <c r="E234" t="str">
        <f t="shared" si="3"/>
        <v>Adrian Del Castillo</v>
      </c>
    </row>
    <row r="235" spans="1:5" x14ac:dyDescent="0.2">
      <c r="A235">
        <v>680700</v>
      </c>
      <c r="B235" t="s">
        <v>1963</v>
      </c>
      <c r="C235" t="s">
        <v>1499</v>
      </c>
      <c r="D235" t="s">
        <v>939</v>
      </c>
      <c r="E235" t="str">
        <f t="shared" si="3"/>
        <v>Richie Palacios</v>
      </c>
    </row>
    <row r="236" spans="1:5" x14ac:dyDescent="0.2">
      <c r="A236">
        <v>664728</v>
      </c>
      <c r="B236" t="s">
        <v>1836</v>
      </c>
      <c r="C236" t="s">
        <v>1500</v>
      </c>
      <c r="D236" t="s">
        <v>940</v>
      </c>
      <c r="E236" t="str">
        <f t="shared" si="3"/>
        <v>Kyle Isbel</v>
      </c>
    </row>
    <row r="237" spans="1:5" x14ac:dyDescent="0.2">
      <c r="A237">
        <v>656577</v>
      </c>
      <c r="B237" t="s">
        <v>1964</v>
      </c>
      <c r="C237" t="s">
        <v>1277</v>
      </c>
      <c r="D237" t="s">
        <v>941</v>
      </c>
      <c r="E237" t="str">
        <f t="shared" si="3"/>
        <v>Alex Jackson</v>
      </c>
    </row>
    <row r="238" spans="1:5" x14ac:dyDescent="0.2">
      <c r="A238">
        <v>806198</v>
      </c>
      <c r="B238" t="s">
        <v>1886</v>
      </c>
      <c r="C238" t="s">
        <v>1501</v>
      </c>
      <c r="D238" t="s">
        <v>942</v>
      </c>
      <c r="E238" t="str">
        <f t="shared" si="3"/>
        <v>Cooper Pratt</v>
      </c>
    </row>
    <row r="239" spans="1:5" x14ac:dyDescent="0.2">
      <c r="A239">
        <v>596146</v>
      </c>
      <c r="B239" t="s">
        <v>1875</v>
      </c>
      <c r="C239" t="s">
        <v>1502</v>
      </c>
      <c r="D239" t="s">
        <v>943</v>
      </c>
      <c r="E239" t="str">
        <f t="shared" si="3"/>
        <v>Max Kepler</v>
      </c>
    </row>
    <row r="240" spans="1:5" x14ac:dyDescent="0.2">
      <c r="A240">
        <v>680777</v>
      </c>
      <c r="B240" t="s">
        <v>1826</v>
      </c>
      <c r="C240" t="s">
        <v>1503</v>
      </c>
      <c r="D240" t="s">
        <v>944</v>
      </c>
      <c r="E240" t="str">
        <f t="shared" si="3"/>
        <v>Ryan Jeffers</v>
      </c>
    </row>
    <row r="241" spans="1:5" x14ac:dyDescent="0.2">
      <c r="A241">
        <v>669127</v>
      </c>
      <c r="B241" t="s">
        <v>1965</v>
      </c>
      <c r="C241" t="s">
        <v>1504</v>
      </c>
      <c r="D241" t="s">
        <v>945</v>
      </c>
      <c r="E241" t="str">
        <f t="shared" si="3"/>
        <v>Shea Langeliers</v>
      </c>
    </row>
    <row r="242" spans="1:5" x14ac:dyDescent="0.2">
      <c r="A242">
        <v>814439</v>
      </c>
      <c r="B242" t="s">
        <v>1826</v>
      </c>
      <c r="C242" t="s">
        <v>1505</v>
      </c>
      <c r="D242" t="s">
        <v>946</v>
      </c>
      <c r="E242" t="str">
        <f t="shared" si="3"/>
        <v>Ryan Waldschmidt</v>
      </c>
    </row>
    <row r="243" spans="1:5" x14ac:dyDescent="0.2">
      <c r="A243">
        <v>641584</v>
      </c>
      <c r="B243" t="s">
        <v>1808</v>
      </c>
      <c r="C243" t="s">
        <v>1506</v>
      </c>
      <c r="D243" t="s">
        <v>947</v>
      </c>
      <c r="E243" t="str">
        <f t="shared" si="3"/>
        <v>Jake Fraley</v>
      </c>
    </row>
    <row r="244" spans="1:5" x14ac:dyDescent="0.2">
      <c r="A244">
        <v>669016</v>
      </c>
      <c r="B244" t="s">
        <v>1831</v>
      </c>
      <c r="C244" t="s">
        <v>1507</v>
      </c>
      <c r="D244" t="s">
        <v>948</v>
      </c>
      <c r="E244" t="str">
        <f t="shared" si="3"/>
        <v>Brandon Marsh</v>
      </c>
    </row>
    <row r="245" spans="1:5" x14ac:dyDescent="0.2">
      <c r="A245">
        <v>669477</v>
      </c>
      <c r="B245" t="s">
        <v>1966</v>
      </c>
      <c r="C245" t="s">
        <v>1508</v>
      </c>
      <c r="D245" t="s">
        <v>949</v>
      </c>
      <c r="E245" t="str">
        <f t="shared" si="3"/>
        <v>Casey Schmitt</v>
      </c>
    </row>
    <row r="246" spans="1:5" x14ac:dyDescent="0.2">
      <c r="A246">
        <v>595978</v>
      </c>
      <c r="B246" t="s">
        <v>1843</v>
      </c>
      <c r="C246" t="s">
        <v>1509</v>
      </c>
      <c r="D246" t="s">
        <v>950</v>
      </c>
      <c r="E246" t="str">
        <f t="shared" si="3"/>
        <v>Austin Hedges</v>
      </c>
    </row>
    <row r="247" spans="1:5" x14ac:dyDescent="0.2">
      <c r="A247">
        <v>671289</v>
      </c>
      <c r="B247" t="s">
        <v>1839</v>
      </c>
      <c r="C247" t="s">
        <v>1339</v>
      </c>
      <c r="D247" t="s">
        <v>951</v>
      </c>
      <c r="E247" t="str">
        <f t="shared" si="3"/>
        <v>Tyler Freeman</v>
      </c>
    </row>
    <row r="248" spans="1:5" x14ac:dyDescent="0.2">
      <c r="A248">
        <v>606115</v>
      </c>
      <c r="B248" t="s">
        <v>1967</v>
      </c>
      <c r="C248" t="s">
        <v>1510</v>
      </c>
      <c r="D248" t="s">
        <v>952</v>
      </c>
      <c r="E248" t="str">
        <f t="shared" si="3"/>
        <v>Orlando Arcia</v>
      </c>
    </row>
    <row r="249" spans="1:5" x14ac:dyDescent="0.2">
      <c r="A249">
        <v>701358</v>
      </c>
      <c r="B249" t="s">
        <v>1968</v>
      </c>
      <c r="C249" t="s">
        <v>1325</v>
      </c>
      <c r="D249" t="s">
        <v>953</v>
      </c>
      <c r="E249" t="str">
        <f t="shared" si="3"/>
        <v>Cam Smith</v>
      </c>
    </row>
    <row r="250" spans="1:5" x14ac:dyDescent="0.2">
      <c r="A250">
        <v>572233</v>
      </c>
      <c r="B250" t="s">
        <v>1922</v>
      </c>
      <c r="C250" t="s">
        <v>1357</v>
      </c>
      <c r="D250" t="s">
        <v>954</v>
      </c>
      <c r="E250" t="str">
        <f t="shared" si="3"/>
        <v>Christian Walker</v>
      </c>
    </row>
    <row r="251" spans="1:5" x14ac:dyDescent="0.2">
      <c r="A251">
        <v>643396</v>
      </c>
      <c r="B251" t="s">
        <v>1969</v>
      </c>
      <c r="C251" t="s">
        <v>1511</v>
      </c>
      <c r="D251" t="s">
        <v>955</v>
      </c>
      <c r="E251" t="str">
        <f t="shared" si="3"/>
        <v>Isiah Kiner-Falefa</v>
      </c>
    </row>
    <row r="252" spans="1:5" x14ac:dyDescent="0.2">
      <c r="A252">
        <v>640492</v>
      </c>
      <c r="B252" t="s">
        <v>1970</v>
      </c>
      <c r="C252" t="s">
        <v>1512</v>
      </c>
      <c r="D252" t="s">
        <v>956</v>
      </c>
      <c r="E252" t="str">
        <f t="shared" si="3"/>
        <v>José Azócar</v>
      </c>
    </row>
    <row r="253" spans="1:5" x14ac:dyDescent="0.2">
      <c r="A253">
        <v>665926</v>
      </c>
      <c r="B253" t="s">
        <v>1971</v>
      </c>
      <c r="C253" t="s">
        <v>1513</v>
      </c>
      <c r="D253" t="s">
        <v>957</v>
      </c>
      <c r="E253" t="str">
        <f t="shared" si="3"/>
        <v>Andrés Giménez</v>
      </c>
    </row>
    <row r="254" spans="1:5" x14ac:dyDescent="0.2">
      <c r="A254">
        <v>664238</v>
      </c>
      <c r="B254" t="s">
        <v>1972</v>
      </c>
      <c r="C254" t="s">
        <v>1514</v>
      </c>
      <c r="D254" t="s">
        <v>958</v>
      </c>
      <c r="E254" t="str">
        <f t="shared" si="3"/>
        <v>Dylan Moore</v>
      </c>
    </row>
    <row r="255" spans="1:5" x14ac:dyDescent="0.2">
      <c r="A255">
        <v>628451</v>
      </c>
      <c r="B255" t="s">
        <v>1973</v>
      </c>
      <c r="C255" t="s">
        <v>1515</v>
      </c>
      <c r="D255" t="s">
        <v>959</v>
      </c>
      <c r="E255" t="str">
        <f t="shared" si="3"/>
        <v>Andy Ibáñez</v>
      </c>
    </row>
    <row r="256" spans="1:5" x14ac:dyDescent="0.2">
      <c r="A256">
        <v>691718</v>
      </c>
      <c r="B256" t="s">
        <v>1974</v>
      </c>
      <c r="C256" t="s">
        <v>1516</v>
      </c>
      <c r="D256" t="s">
        <v>960</v>
      </c>
      <c r="E256" t="str">
        <f t="shared" si="3"/>
        <v>Pete Crow-Armstrong</v>
      </c>
    </row>
    <row r="257" spans="1:5" x14ac:dyDescent="0.2">
      <c r="A257">
        <v>663494</v>
      </c>
      <c r="B257" t="s">
        <v>1975</v>
      </c>
      <c r="C257" t="s">
        <v>1418</v>
      </c>
      <c r="D257" t="s">
        <v>961</v>
      </c>
      <c r="E257" t="str">
        <f t="shared" si="3"/>
        <v>Bryan Torres</v>
      </c>
    </row>
    <row r="258" spans="1:5" x14ac:dyDescent="0.2">
      <c r="A258">
        <v>672580</v>
      </c>
      <c r="B258" t="s">
        <v>1976</v>
      </c>
      <c r="C258" t="s">
        <v>1361</v>
      </c>
      <c r="D258" t="s">
        <v>962</v>
      </c>
      <c r="E258" t="str">
        <f t="shared" si="3"/>
        <v>Maikel Garcia</v>
      </c>
    </row>
    <row r="259" spans="1:5" x14ac:dyDescent="0.2">
      <c r="A259">
        <v>502054</v>
      </c>
      <c r="B259" t="s">
        <v>1905</v>
      </c>
      <c r="C259" t="s">
        <v>1517</v>
      </c>
      <c r="D259" t="s">
        <v>963</v>
      </c>
      <c r="E259" t="str">
        <f t="shared" ref="E259:E322" si="4">B259&amp;" "&amp;C259</f>
        <v>Tommy Pham</v>
      </c>
    </row>
    <row r="260" spans="1:5" x14ac:dyDescent="0.2">
      <c r="A260">
        <v>691458</v>
      </c>
      <c r="B260" t="s">
        <v>1977</v>
      </c>
      <c r="C260" t="s">
        <v>1518</v>
      </c>
      <c r="D260" t="s">
        <v>964</v>
      </c>
      <c r="E260" t="str">
        <f t="shared" si="4"/>
        <v>Blaze Jordan</v>
      </c>
    </row>
    <row r="261" spans="1:5" x14ac:dyDescent="0.2">
      <c r="A261">
        <v>686948</v>
      </c>
      <c r="B261" t="s">
        <v>1978</v>
      </c>
      <c r="C261" t="s">
        <v>1519</v>
      </c>
      <c r="D261" t="s">
        <v>965</v>
      </c>
      <c r="E261" t="str">
        <f t="shared" si="4"/>
        <v>Drake Baldwin</v>
      </c>
    </row>
    <row r="262" spans="1:5" x14ac:dyDescent="0.2">
      <c r="A262">
        <v>686527</v>
      </c>
      <c r="B262" t="s">
        <v>1835</v>
      </c>
      <c r="C262" t="s">
        <v>1520</v>
      </c>
      <c r="D262" t="s">
        <v>966</v>
      </c>
      <c r="E262" t="str">
        <f t="shared" si="4"/>
        <v>Dominic Canzone</v>
      </c>
    </row>
    <row r="263" spans="1:5" x14ac:dyDescent="0.2">
      <c r="A263">
        <v>670042</v>
      </c>
      <c r="B263" t="s">
        <v>1812</v>
      </c>
      <c r="C263" t="s">
        <v>1521</v>
      </c>
      <c r="D263" t="s">
        <v>967</v>
      </c>
      <c r="E263" t="str">
        <f t="shared" si="4"/>
        <v>Luke Raley</v>
      </c>
    </row>
    <row r="264" spans="1:5" x14ac:dyDescent="0.2">
      <c r="A264">
        <v>701398</v>
      </c>
      <c r="B264" t="s">
        <v>1979</v>
      </c>
      <c r="C264" t="s">
        <v>1522</v>
      </c>
      <c r="D264" t="s">
        <v>968</v>
      </c>
      <c r="E264" t="str">
        <f t="shared" si="4"/>
        <v>Sal Stewart</v>
      </c>
    </row>
    <row r="265" spans="1:5" x14ac:dyDescent="0.2">
      <c r="A265">
        <v>624641</v>
      </c>
      <c r="B265" t="s">
        <v>1980</v>
      </c>
      <c r="C265" t="s">
        <v>1523</v>
      </c>
      <c r="D265" t="s">
        <v>969</v>
      </c>
      <c r="E265" t="str">
        <f t="shared" si="4"/>
        <v>Edmundo Sosa</v>
      </c>
    </row>
    <row r="266" spans="1:5" x14ac:dyDescent="0.2">
      <c r="A266">
        <v>683953</v>
      </c>
      <c r="B266" t="s">
        <v>1848</v>
      </c>
      <c r="C266" t="s">
        <v>1524</v>
      </c>
      <c r="D266" t="s">
        <v>970</v>
      </c>
      <c r="E266" t="str">
        <f t="shared" si="4"/>
        <v>Travis Bazzana</v>
      </c>
    </row>
    <row r="267" spans="1:5" x14ac:dyDescent="0.2">
      <c r="A267">
        <v>640902</v>
      </c>
      <c r="B267" t="s">
        <v>1981</v>
      </c>
      <c r="C267" t="s">
        <v>1525</v>
      </c>
      <c r="D267" t="s">
        <v>971</v>
      </c>
      <c r="E267" t="str">
        <f t="shared" si="4"/>
        <v>Jhonny Pereda</v>
      </c>
    </row>
    <row r="268" spans="1:5" x14ac:dyDescent="0.2">
      <c r="A268">
        <v>701678</v>
      </c>
      <c r="B268" t="s">
        <v>1982</v>
      </c>
      <c r="C268" t="s">
        <v>1526</v>
      </c>
      <c r="D268" t="s">
        <v>972</v>
      </c>
      <c r="E268" t="str">
        <f t="shared" si="4"/>
        <v>Hao-Yu Lee</v>
      </c>
    </row>
    <row r="269" spans="1:5" x14ac:dyDescent="0.2">
      <c r="A269">
        <v>657757</v>
      </c>
      <c r="B269" t="s">
        <v>1983</v>
      </c>
      <c r="C269" t="s">
        <v>1527</v>
      </c>
      <c r="D269" t="s">
        <v>973</v>
      </c>
      <c r="E269" t="str">
        <f t="shared" si="4"/>
        <v>Gavin Sheets</v>
      </c>
    </row>
    <row r="270" spans="1:5" x14ac:dyDescent="0.2">
      <c r="A270">
        <v>593428</v>
      </c>
      <c r="B270" t="s">
        <v>1984</v>
      </c>
      <c r="C270" t="s">
        <v>1528</v>
      </c>
      <c r="D270" t="s">
        <v>974</v>
      </c>
      <c r="E270" t="str">
        <f t="shared" si="4"/>
        <v>Xander Bogaerts</v>
      </c>
    </row>
    <row r="271" spans="1:5" x14ac:dyDescent="0.2">
      <c r="A271">
        <v>694410</v>
      </c>
      <c r="B271" t="s">
        <v>1985</v>
      </c>
      <c r="C271" t="s">
        <v>1529</v>
      </c>
      <c r="D271" t="s">
        <v>975</v>
      </c>
      <c r="E271" t="str">
        <f t="shared" si="4"/>
        <v>LuJames Groover</v>
      </c>
    </row>
    <row r="272" spans="1:5" x14ac:dyDescent="0.2">
      <c r="A272">
        <v>694025</v>
      </c>
      <c r="B272" t="s">
        <v>1986</v>
      </c>
      <c r="C272" t="s">
        <v>1530</v>
      </c>
      <c r="D272" t="s">
        <v>976</v>
      </c>
      <c r="E272" t="str">
        <f t="shared" si="4"/>
        <v>Felix Reyes</v>
      </c>
    </row>
    <row r="273" spans="1:5" x14ac:dyDescent="0.2">
      <c r="A273">
        <v>681807</v>
      </c>
      <c r="B273" t="s">
        <v>1987</v>
      </c>
      <c r="C273" t="s">
        <v>1531</v>
      </c>
      <c r="D273" t="s">
        <v>977</v>
      </c>
      <c r="E273" t="str">
        <f t="shared" si="4"/>
        <v>David Fry</v>
      </c>
    </row>
    <row r="274" spans="1:5" x14ac:dyDescent="0.2">
      <c r="A274">
        <v>686765</v>
      </c>
      <c r="B274" t="s">
        <v>1919</v>
      </c>
      <c r="C274" t="s">
        <v>1532</v>
      </c>
      <c r="D274" t="s">
        <v>978</v>
      </c>
      <c r="E274" t="str">
        <f t="shared" si="4"/>
        <v>Nick Sogard</v>
      </c>
    </row>
    <row r="275" spans="1:5" x14ac:dyDescent="0.2">
      <c r="A275">
        <v>677942</v>
      </c>
      <c r="B275" t="s">
        <v>1977</v>
      </c>
      <c r="C275" t="s">
        <v>1533</v>
      </c>
      <c r="D275" t="s">
        <v>979</v>
      </c>
      <c r="E275" t="str">
        <f t="shared" si="4"/>
        <v>Blaze Alexander</v>
      </c>
    </row>
    <row r="276" spans="1:5" x14ac:dyDescent="0.2">
      <c r="A276">
        <v>602104</v>
      </c>
      <c r="B276" t="s">
        <v>1900</v>
      </c>
      <c r="C276" t="s">
        <v>1534</v>
      </c>
      <c r="D276" t="s">
        <v>980</v>
      </c>
      <c r="E276" t="str">
        <f t="shared" si="4"/>
        <v>Ramón Urías</v>
      </c>
    </row>
    <row r="277" spans="1:5" x14ac:dyDescent="0.2">
      <c r="A277">
        <v>669065</v>
      </c>
      <c r="B277" t="s">
        <v>1836</v>
      </c>
      <c r="C277" t="s">
        <v>1535</v>
      </c>
      <c r="D277" t="s">
        <v>981</v>
      </c>
      <c r="E277" t="str">
        <f t="shared" si="4"/>
        <v>Kyle Stowers</v>
      </c>
    </row>
    <row r="278" spans="1:5" x14ac:dyDescent="0.2">
      <c r="A278">
        <v>664040</v>
      </c>
      <c r="B278" t="s">
        <v>1831</v>
      </c>
      <c r="C278" t="s">
        <v>1427</v>
      </c>
      <c r="D278" t="s">
        <v>982</v>
      </c>
      <c r="E278" t="str">
        <f t="shared" si="4"/>
        <v>Brandon Lowe</v>
      </c>
    </row>
    <row r="279" spans="1:5" x14ac:dyDescent="0.2">
      <c r="A279">
        <v>669289</v>
      </c>
      <c r="B279" t="s">
        <v>1988</v>
      </c>
      <c r="C279" t="s">
        <v>1536</v>
      </c>
      <c r="D279" t="s">
        <v>983</v>
      </c>
      <c r="E279" t="str">
        <f t="shared" si="4"/>
        <v>Santiago Espinal</v>
      </c>
    </row>
    <row r="280" spans="1:5" x14ac:dyDescent="0.2">
      <c r="A280">
        <v>645277</v>
      </c>
      <c r="B280" t="s">
        <v>1989</v>
      </c>
      <c r="C280" t="s">
        <v>1537</v>
      </c>
      <c r="D280" t="s">
        <v>984</v>
      </c>
      <c r="E280" t="str">
        <f t="shared" si="4"/>
        <v>Ozzie Albies</v>
      </c>
    </row>
    <row r="281" spans="1:5" x14ac:dyDescent="0.2">
      <c r="A281">
        <v>664731</v>
      </c>
      <c r="B281" t="s">
        <v>1990</v>
      </c>
      <c r="C281" t="s">
        <v>1538</v>
      </c>
      <c r="D281" t="s">
        <v>985</v>
      </c>
      <c r="E281" t="str">
        <f t="shared" si="4"/>
        <v>P.J. Higgins</v>
      </c>
    </row>
    <row r="282" spans="1:5" x14ac:dyDescent="0.2">
      <c r="A282">
        <v>678218</v>
      </c>
      <c r="B282" t="s">
        <v>1831</v>
      </c>
      <c r="C282" t="s">
        <v>1539</v>
      </c>
      <c r="D282" t="s">
        <v>986</v>
      </c>
      <c r="E282" t="str">
        <f t="shared" si="4"/>
        <v>Brandon Valenzuela</v>
      </c>
    </row>
    <row r="283" spans="1:5" x14ac:dyDescent="0.2">
      <c r="A283">
        <v>802139</v>
      </c>
      <c r="B283" t="s">
        <v>1991</v>
      </c>
      <c r="C283" t="s">
        <v>1540</v>
      </c>
      <c r="D283" t="s">
        <v>987</v>
      </c>
      <c r="E283" t="str">
        <f t="shared" si="4"/>
        <v>JJ Wetherholt</v>
      </c>
    </row>
    <row r="284" spans="1:5" x14ac:dyDescent="0.2">
      <c r="A284">
        <v>671976</v>
      </c>
      <c r="B284" t="s">
        <v>1830</v>
      </c>
      <c r="C284" t="s">
        <v>1541</v>
      </c>
      <c r="D284" t="s">
        <v>988</v>
      </c>
      <c r="E284" t="str">
        <f t="shared" si="4"/>
        <v>Tristan Peters</v>
      </c>
    </row>
    <row r="285" spans="1:5" x14ac:dyDescent="0.2">
      <c r="A285">
        <v>687551</v>
      </c>
      <c r="B285" t="s">
        <v>1992</v>
      </c>
      <c r="C285" t="s">
        <v>1542</v>
      </c>
      <c r="D285" t="s">
        <v>989</v>
      </c>
      <c r="E285" t="str">
        <f t="shared" si="4"/>
        <v>Drew Gilbert</v>
      </c>
    </row>
    <row r="286" spans="1:5" x14ac:dyDescent="0.2">
      <c r="A286">
        <v>679822</v>
      </c>
      <c r="B286" t="s">
        <v>1993</v>
      </c>
      <c r="C286" t="s">
        <v>1543</v>
      </c>
      <c r="D286" t="s">
        <v>990</v>
      </c>
      <c r="E286" t="str">
        <f t="shared" si="4"/>
        <v>Justin Foscue</v>
      </c>
    </row>
    <row r="287" spans="1:5" x14ac:dyDescent="0.2">
      <c r="A287">
        <v>663698</v>
      </c>
      <c r="B287" t="s">
        <v>1953</v>
      </c>
      <c r="C287" t="s">
        <v>1544</v>
      </c>
      <c r="D287" t="s">
        <v>991</v>
      </c>
      <c r="E287" t="str">
        <f t="shared" si="4"/>
        <v>Joey Bart</v>
      </c>
    </row>
    <row r="288" spans="1:5" x14ac:dyDescent="0.2">
      <c r="A288">
        <v>805347</v>
      </c>
      <c r="B288" t="s">
        <v>1994</v>
      </c>
      <c r="C288" t="s">
        <v>1545</v>
      </c>
      <c r="D288" t="s">
        <v>992</v>
      </c>
      <c r="E288" t="str">
        <f t="shared" si="4"/>
        <v>Jim Jarvis</v>
      </c>
    </row>
    <row r="289" spans="1:5" x14ac:dyDescent="0.2">
      <c r="A289">
        <v>678246</v>
      </c>
      <c r="B289" t="s">
        <v>1931</v>
      </c>
      <c r="C289" t="s">
        <v>1346</v>
      </c>
      <c r="D289" t="s">
        <v>993</v>
      </c>
      <c r="E289" t="str">
        <f t="shared" si="4"/>
        <v>Miguel Vargas</v>
      </c>
    </row>
    <row r="290" spans="1:5" x14ac:dyDescent="0.2">
      <c r="A290">
        <v>669743</v>
      </c>
      <c r="B290" t="s">
        <v>1964</v>
      </c>
      <c r="C290" t="s">
        <v>1546</v>
      </c>
      <c r="D290" t="s">
        <v>994</v>
      </c>
      <c r="E290" t="str">
        <f t="shared" si="4"/>
        <v>Alex Call</v>
      </c>
    </row>
    <row r="291" spans="1:5" x14ac:dyDescent="0.2">
      <c r="A291">
        <v>621439</v>
      </c>
      <c r="B291" t="s">
        <v>1995</v>
      </c>
      <c r="C291" t="s">
        <v>1547</v>
      </c>
      <c r="D291" t="s">
        <v>995</v>
      </c>
      <c r="E291" t="str">
        <f t="shared" si="4"/>
        <v>Byron Buxton</v>
      </c>
    </row>
    <row r="292" spans="1:5" x14ac:dyDescent="0.2">
      <c r="A292">
        <v>671655</v>
      </c>
      <c r="B292" t="s">
        <v>1895</v>
      </c>
      <c r="C292" t="s">
        <v>1548</v>
      </c>
      <c r="D292" t="s">
        <v>996</v>
      </c>
      <c r="E292" t="str">
        <f t="shared" si="4"/>
        <v>George Valera</v>
      </c>
    </row>
    <row r="293" spans="1:5" x14ac:dyDescent="0.2">
      <c r="A293">
        <v>693304</v>
      </c>
      <c r="B293" t="s">
        <v>1919</v>
      </c>
      <c r="C293" t="s">
        <v>1549</v>
      </c>
      <c r="D293" t="s">
        <v>997</v>
      </c>
      <c r="E293" t="str">
        <f t="shared" si="4"/>
        <v>Nick Gonzales</v>
      </c>
    </row>
    <row r="294" spans="1:5" x14ac:dyDescent="0.2">
      <c r="A294">
        <v>650391</v>
      </c>
      <c r="B294" t="s">
        <v>1996</v>
      </c>
      <c r="C294" t="s">
        <v>1550</v>
      </c>
      <c r="D294" t="s">
        <v>998</v>
      </c>
      <c r="E294" t="str">
        <f t="shared" si="4"/>
        <v>Eloy Jiménez</v>
      </c>
    </row>
    <row r="295" spans="1:5" x14ac:dyDescent="0.2">
      <c r="A295">
        <v>694212</v>
      </c>
      <c r="B295" t="s">
        <v>1997</v>
      </c>
      <c r="C295" t="s">
        <v>1551</v>
      </c>
      <c r="D295" t="s">
        <v>999</v>
      </c>
      <c r="E295" t="str">
        <f t="shared" si="4"/>
        <v>Samuel Basallo</v>
      </c>
    </row>
    <row r="296" spans="1:5" x14ac:dyDescent="0.2">
      <c r="A296">
        <v>642708</v>
      </c>
      <c r="B296" t="s">
        <v>1998</v>
      </c>
      <c r="C296" t="s">
        <v>1552</v>
      </c>
      <c r="D296" t="s">
        <v>1000</v>
      </c>
      <c r="E296" t="str">
        <f t="shared" si="4"/>
        <v>Amed Rosario</v>
      </c>
    </row>
    <row r="297" spans="1:5" x14ac:dyDescent="0.2">
      <c r="A297">
        <v>671732</v>
      </c>
      <c r="B297" t="s">
        <v>1999</v>
      </c>
      <c r="C297" t="s">
        <v>1553</v>
      </c>
      <c r="D297" t="s">
        <v>1001</v>
      </c>
      <c r="E297" t="str">
        <f t="shared" si="4"/>
        <v>Lawrence Butler</v>
      </c>
    </row>
    <row r="298" spans="1:5" x14ac:dyDescent="0.2">
      <c r="A298">
        <v>681624</v>
      </c>
      <c r="B298" t="s">
        <v>1973</v>
      </c>
      <c r="C298" t="s">
        <v>1554</v>
      </c>
      <c r="D298" t="s">
        <v>1002</v>
      </c>
      <c r="E298" t="str">
        <f t="shared" si="4"/>
        <v>Andy Pages</v>
      </c>
    </row>
    <row r="299" spans="1:5" x14ac:dyDescent="0.2">
      <c r="A299">
        <v>650489</v>
      </c>
      <c r="B299" t="s">
        <v>2000</v>
      </c>
      <c r="C299" t="s">
        <v>1555</v>
      </c>
      <c r="D299" t="s">
        <v>1003</v>
      </c>
      <c r="E299" t="str">
        <f t="shared" si="4"/>
        <v>Willi Castro</v>
      </c>
    </row>
    <row r="300" spans="1:5" x14ac:dyDescent="0.2">
      <c r="A300">
        <v>545361</v>
      </c>
      <c r="B300" t="s">
        <v>1956</v>
      </c>
      <c r="C300" t="s">
        <v>1556</v>
      </c>
      <c r="D300" t="s">
        <v>1004</v>
      </c>
      <c r="E300" t="str">
        <f t="shared" si="4"/>
        <v>Mike Trout</v>
      </c>
    </row>
    <row r="301" spans="1:5" x14ac:dyDescent="0.2">
      <c r="A301">
        <v>663586</v>
      </c>
      <c r="B301" t="s">
        <v>1843</v>
      </c>
      <c r="C301" t="s">
        <v>1557</v>
      </c>
      <c r="D301" t="s">
        <v>1005</v>
      </c>
      <c r="E301" t="str">
        <f t="shared" si="4"/>
        <v>Austin Riley</v>
      </c>
    </row>
    <row r="302" spans="1:5" x14ac:dyDescent="0.2">
      <c r="A302">
        <v>695336</v>
      </c>
      <c r="B302" t="s">
        <v>1408</v>
      </c>
      <c r="C302" t="s">
        <v>1558</v>
      </c>
      <c r="D302" t="s">
        <v>1006</v>
      </c>
      <c r="E302" t="str">
        <f t="shared" si="4"/>
        <v>Thomas Saggese</v>
      </c>
    </row>
    <row r="303" spans="1:5" x14ac:dyDescent="0.2">
      <c r="A303">
        <v>686452</v>
      </c>
      <c r="B303" t="s">
        <v>1992</v>
      </c>
      <c r="C303" t="s">
        <v>1559</v>
      </c>
      <c r="D303" t="s">
        <v>1007</v>
      </c>
      <c r="E303" t="str">
        <f t="shared" si="4"/>
        <v>Drew Millas</v>
      </c>
    </row>
    <row r="304" spans="1:5" x14ac:dyDescent="0.2">
      <c r="A304">
        <v>669398</v>
      </c>
      <c r="B304" t="s">
        <v>2001</v>
      </c>
      <c r="C304" t="s">
        <v>1560</v>
      </c>
      <c r="D304" t="s">
        <v>1008</v>
      </c>
      <c r="E304" t="str">
        <f t="shared" si="4"/>
        <v>Gage Workman</v>
      </c>
    </row>
    <row r="305" spans="1:5" x14ac:dyDescent="0.2">
      <c r="A305">
        <v>694671</v>
      </c>
      <c r="B305" t="s">
        <v>2002</v>
      </c>
      <c r="C305" t="s">
        <v>1561</v>
      </c>
      <c r="D305" t="s">
        <v>1009</v>
      </c>
      <c r="E305" t="str">
        <f t="shared" si="4"/>
        <v>Wyatt Langford</v>
      </c>
    </row>
    <row r="306" spans="1:5" x14ac:dyDescent="0.2">
      <c r="A306">
        <v>607208</v>
      </c>
      <c r="B306" t="s">
        <v>2003</v>
      </c>
      <c r="C306" t="s">
        <v>1562</v>
      </c>
      <c r="D306" t="s">
        <v>1010</v>
      </c>
      <c r="E306" t="str">
        <f t="shared" si="4"/>
        <v>Trea Turner</v>
      </c>
    </row>
    <row r="307" spans="1:5" x14ac:dyDescent="0.2">
      <c r="A307">
        <v>667472</v>
      </c>
      <c r="B307" t="s">
        <v>2004</v>
      </c>
      <c r="C307" t="s">
        <v>1563</v>
      </c>
      <c r="D307" t="s">
        <v>1011</v>
      </c>
      <c r="E307" t="str">
        <f t="shared" si="4"/>
        <v>Dane Myers</v>
      </c>
    </row>
    <row r="308" spans="1:5" x14ac:dyDescent="0.2">
      <c r="A308">
        <v>605244</v>
      </c>
      <c r="B308" t="s">
        <v>2005</v>
      </c>
      <c r="C308" t="s">
        <v>1361</v>
      </c>
      <c r="D308" t="s">
        <v>1012</v>
      </c>
      <c r="E308" t="str">
        <f t="shared" si="4"/>
        <v>Aramis Garcia</v>
      </c>
    </row>
    <row r="309" spans="1:5" x14ac:dyDescent="0.2">
      <c r="A309">
        <v>690993</v>
      </c>
      <c r="B309" t="s">
        <v>1863</v>
      </c>
      <c r="C309" t="s">
        <v>1564</v>
      </c>
      <c r="D309" t="s">
        <v>1013</v>
      </c>
      <c r="E309" t="str">
        <f t="shared" si="4"/>
        <v>Colt Keith</v>
      </c>
    </row>
    <row r="310" spans="1:5" x14ac:dyDescent="0.2">
      <c r="A310">
        <v>664702</v>
      </c>
      <c r="B310" t="s">
        <v>2006</v>
      </c>
      <c r="C310" t="s">
        <v>1565</v>
      </c>
      <c r="D310" t="s">
        <v>1014</v>
      </c>
      <c r="E310" t="str">
        <f t="shared" si="4"/>
        <v>Myles Straw</v>
      </c>
    </row>
    <row r="311" spans="1:5" x14ac:dyDescent="0.2">
      <c r="A311">
        <v>680718</v>
      </c>
      <c r="B311" t="s">
        <v>2007</v>
      </c>
      <c r="C311" t="s">
        <v>1566</v>
      </c>
      <c r="D311" t="s">
        <v>1015</v>
      </c>
      <c r="E311" t="str">
        <f t="shared" si="4"/>
        <v>Addison Barger</v>
      </c>
    </row>
    <row r="312" spans="1:5" x14ac:dyDescent="0.2">
      <c r="A312">
        <v>694728</v>
      </c>
      <c r="B312" t="s">
        <v>1897</v>
      </c>
      <c r="C312" t="s">
        <v>1567</v>
      </c>
      <c r="D312" t="s">
        <v>1016</v>
      </c>
      <c r="E312" t="str">
        <f t="shared" si="4"/>
        <v>Brice Matthews</v>
      </c>
    </row>
    <row r="313" spans="1:5" x14ac:dyDescent="0.2">
      <c r="A313">
        <v>681198</v>
      </c>
      <c r="B313" t="s">
        <v>2008</v>
      </c>
      <c r="C313" t="s">
        <v>1568</v>
      </c>
      <c r="D313" t="s">
        <v>1017</v>
      </c>
      <c r="E313" t="str">
        <f t="shared" si="4"/>
        <v>TJ Rumfield</v>
      </c>
    </row>
    <row r="314" spans="1:5" x14ac:dyDescent="0.2">
      <c r="A314">
        <v>664774</v>
      </c>
      <c r="B314" t="s">
        <v>2009</v>
      </c>
      <c r="C314" t="s">
        <v>1569</v>
      </c>
      <c r="D314" t="s">
        <v>1018</v>
      </c>
      <c r="E314" t="str">
        <f t="shared" si="4"/>
        <v>LaMonte Wade Jr.</v>
      </c>
    </row>
    <row r="315" spans="1:5" x14ac:dyDescent="0.2">
      <c r="A315">
        <v>682641</v>
      </c>
      <c r="B315" t="s">
        <v>1796</v>
      </c>
      <c r="C315" t="s">
        <v>1570</v>
      </c>
      <c r="D315" t="s">
        <v>1019</v>
      </c>
      <c r="E315" t="str">
        <f t="shared" si="4"/>
        <v>Luis Matos</v>
      </c>
    </row>
    <row r="316" spans="1:5" x14ac:dyDescent="0.2">
      <c r="A316">
        <v>673548</v>
      </c>
      <c r="B316" t="s">
        <v>2010</v>
      </c>
      <c r="C316" t="s">
        <v>1571</v>
      </c>
      <c r="D316" t="s">
        <v>1020</v>
      </c>
      <c r="E316" t="str">
        <f t="shared" si="4"/>
        <v>Seiya Suzuki</v>
      </c>
    </row>
    <row r="317" spans="1:5" x14ac:dyDescent="0.2">
      <c r="A317">
        <v>807727</v>
      </c>
      <c r="B317" t="s">
        <v>2011</v>
      </c>
      <c r="C317" t="s">
        <v>1572</v>
      </c>
      <c r="D317" t="s">
        <v>1021</v>
      </c>
      <c r="E317" t="str">
        <f t="shared" si="4"/>
        <v>Charles McAdoo</v>
      </c>
    </row>
    <row r="318" spans="1:5" x14ac:dyDescent="0.2">
      <c r="A318">
        <v>668942</v>
      </c>
      <c r="B318" t="s">
        <v>2012</v>
      </c>
      <c r="C318" t="s">
        <v>1573</v>
      </c>
      <c r="D318" t="s">
        <v>1022</v>
      </c>
      <c r="E318" t="str">
        <f t="shared" si="4"/>
        <v>Josh Rojas</v>
      </c>
    </row>
    <row r="319" spans="1:5" x14ac:dyDescent="0.2">
      <c r="A319">
        <v>670770</v>
      </c>
      <c r="B319" t="s">
        <v>2008</v>
      </c>
      <c r="C319" t="s">
        <v>1574</v>
      </c>
      <c r="D319" t="s">
        <v>1023</v>
      </c>
      <c r="E319" t="str">
        <f t="shared" si="4"/>
        <v>TJ Friedl</v>
      </c>
    </row>
    <row r="320" spans="1:5" x14ac:dyDescent="0.2">
      <c r="A320">
        <v>669134</v>
      </c>
      <c r="B320" t="s">
        <v>1796</v>
      </c>
      <c r="C320" t="s">
        <v>1575</v>
      </c>
      <c r="D320" t="s">
        <v>1024</v>
      </c>
      <c r="E320" t="str">
        <f t="shared" si="4"/>
        <v>Luis Campusano</v>
      </c>
    </row>
    <row r="321" spans="1:5" x14ac:dyDescent="0.2">
      <c r="A321">
        <v>664059</v>
      </c>
      <c r="B321" t="s">
        <v>1943</v>
      </c>
      <c r="C321" t="s">
        <v>1576</v>
      </c>
      <c r="D321" t="s">
        <v>1025</v>
      </c>
      <c r="E321" t="str">
        <f t="shared" si="4"/>
        <v>Sam Haggerty</v>
      </c>
    </row>
    <row r="322" spans="1:5" x14ac:dyDescent="0.2">
      <c r="A322">
        <v>600869</v>
      </c>
      <c r="B322" t="s">
        <v>2013</v>
      </c>
      <c r="C322" t="s">
        <v>1577</v>
      </c>
      <c r="D322" t="s">
        <v>1026</v>
      </c>
      <c r="E322" t="str">
        <f t="shared" si="4"/>
        <v>Jeimer Candelario</v>
      </c>
    </row>
    <row r="323" spans="1:5" x14ac:dyDescent="0.2">
      <c r="A323">
        <v>669326</v>
      </c>
      <c r="B323" t="s">
        <v>1806</v>
      </c>
      <c r="C323" t="s">
        <v>1578</v>
      </c>
      <c r="D323" t="s">
        <v>1027</v>
      </c>
      <c r="E323" t="str">
        <f t="shared" ref="E323:E386" si="5">B323&amp;" "&amp;C323</f>
        <v>Bryce Teodosio</v>
      </c>
    </row>
    <row r="324" spans="1:5" x14ac:dyDescent="0.2">
      <c r="A324">
        <v>642715</v>
      </c>
      <c r="B324" t="s">
        <v>2014</v>
      </c>
      <c r="C324" t="s">
        <v>1579</v>
      </c>
      <c r="D324" t="s">
        <v>1028</v>
      </c>
      <c r="E324" t="str">
        <f t="shared" si="5"/>
        <v>Willy Adames</v>
      </c>
    </row>
    <row r="325" spans="1:5" x14ac:dyDescent="0.2">
      <c r="A325">
        <v>663368</v>
      </c>
      <c r="B325" t="s">
        <v>1857</v>
      </c>
      <c r="C325" t="s">
        <v>1580</v>
      </c>
      <c r="D325" t="s">
        <v>1029</v>
      </c>
      <c r="E325" t="str">
        <f t="shared" si="5"/>
        <v>Blake Perkins</v>
      </c>
    </row>
    <row r="326" spans="1:5" x14ac:dyDescent="0.2">
      <c r="A326">
        <v>687957</v>
      </c>
      <c r="B326" t="s">
        <v>2015</v>
      </c>
      <c r="C326" t="s">
        <v>1581</v>
      </c>
      <c r="D326" t="s">
        <v>1030</v>
      </c>
      <c r="E326" t="str">
        <f t="shared" si="5"/>
        <v>Dustin Harris</v>
      </c>
    </row>
    <row r="327" spans="1:5" x14ac:dyDescent="0.2">
      <c r="A327">
        <v>665750</v>
      </c>
      <c r="B327" t="s">
        <v>2016</v>
      </c>
      <c r="C327" t="s">
        <v>1582</v>
      </c>
      <c r="D327" t="s">
        <v>1031</v>
      </c>
      <c r="E327" t="str">
        <f t="shared" si="5"/>
        <v>Leody Taveras</v>
      </c>
    </row>
    <row r="328" spans="1:5" x14ac:dyDescent="0.2">
      <c r="A328">
        <v>669003</v>
      </c>
      <c r="B328" t="s">
        <v>1872</v>
      </c>
      <c r="C328" t="s">
        <v>1583</v>
      </c>
      <c r="D328" t="s">
        <v>1032</v>
      </c>
      <c r="E328" t="str">
        <f t="shared" si="5"/>
        <v>Garrett Mitchell</v>
      </c>
    </row>
    <row r="329" spans="1:5" x14ac:dyDescent="0.2">
      <c r="A329">
        <v>592206</v>
      </c>
      <c r="B329" t="s">
        <v>1919</v>
      </c>
      <c r="C329" t="s">
        <v>1584</v>
      </c>
      <c r="D329" t="s">
        <v>1033</v>
      </c>
      <c r="E329" t="str">
        <f t="shared" si="5"/>
        <v>Nick Castellanos</v>
      </c>
    </row>
    <row r="330" spans="1:5" x14ac:dyDescent="0.2">
      <c r="A330">
        <v>669224</v>
      </c>
      <c r="B330" t="s">
        <v>1843</v>
      </c>
      <c r="C330" t="s">
        <v>1585</v>
      </c>
      <c r="D330" t="s">
        <v>1034</v>
      </c>
      <c r="E330" t="str">
        <f t="shared" si="5"/>
        <v>Austin Wells</v>
      </c>
    </row>
    <row r="331" spans="1:5" x14ac:dyDescent="0.2">
      <c r="A331">
        <v>679845</v>
      </c>
      <c r="B331" t="s">
        <v>1919</v>
      </c>
      <c r="C331" t="s">
        <v>1586</v>
      </c>
      <c r="D331" t="s">
        <v>1035</v>
      </c>
      <c r="E331" t="str">
        <f t="shared" si="5"/>
        <v>Nick Loftin</v>
      </c>
    </row>
    <row r="332" spans="1:5" x14ac:dyDescent="0.2">
      <c r="A332">
        <v>668939</v>
      </c>
      <c r="B332" t="s">
        <v>2017</v>
      </c>
      <c r="C332" t="s">
        <v>1587</v>
      </c>
      <c r="D332" t="s">
        <v>1036</v>
      </c>
      <c r="E332" t="str">
        <f t="shared" si="5"/>
        <v>Adley Rutschman</v>
      </c>
    </row>
    <row r="333" spans="1:5" x14ac:dyDescent="0.2">
      <c r="A333">
        <v>521692</v>
      </c>
      <c r="B333" t="s">
        <v>2018</v>
      </c>
      <c r="C333" t="s">
        <v>1396</v>
      </c>
      <c r="D333" t="s">
        <v>1037</v>
      </c>
      <c r="E333" t="str">
        <f t="shared" si="5"/>
        <v>Salvador Perez</v>
      </c>
    </row>
    <row r="334" spans="1:5" x14ac:dyDescent="0.2">
      <c r="A334">
        <v>691019</v>
      </c>
      <c r="B334" t="s">
        <v>1836</v>
      </c>
      <c r="C334" t="s">
        <v>1588</v>
      </c>
      <c r="D334" t="s">
        <v>1038</v>
      </c>
      <c r="E334" t="str">
        <f t="shared" si="5"/>
        <v>Kyle Teel</v>
      </c>
    </row>
    <row r="335" spans="1:5" x14ac:dyDescent="0.2">
      <c r="A335">
        <v>644433</v>
      </c>
      <c r="B335" t="s">
        <v>2019</v>
      </c>
      <c r="C335" t="s">
        <v>1589</v>
      </c>
      <c r="D335" t="s">
        <v>1039</v>
      </c>
      <c r="E335" t="str">
        <f t="shared" si="5"/>
        <v>Chadwick Tromp</v>
      </c>
    </row>
    <row r="336" spans="1:5" x14ac:dyDescent="0.2">
      <c r="A336">
        <v>606192</v>
      </c>
      <c r="B336" t="s">
        <v>2020</v>
      </c>
      <c r="C336" t="s">
        <v>1590</v>
      </c>
      <c r="D336" t="s">
        <v>1040</v>
      </c>
      <c r="E336" t="str">
        <f t="shared" si="5"/>
        <v>Teoscar Hernández</v>
      </c>
    </row>
    <row r="337" spans="1:5" x14ac:dyDescent="0.2">
      <c r="A337">
        <v>641857</v>
      </c>
      <c r="B337" t="s">
        <v>1826</v>
      </c>
      <c r="C337" t="s">
        <v>1591</v>
      </c>
      <c r="D337" t="s">
        <v>1041</v>
      </c>
      <c r="E337" t="str">
        <f t="shared" si="5"/>
        <v>Ryan McMahon</v>
      </c>
    </row>
    <row r="338" spans="1:5" x14ac:dyDescent="0.2">
      <c r="A338">
        <v>665862</v>
      </c>
      <c r="B338" t="s">
        <v>2021</v>
      </c>
      <c r="C338" t="s">
        <v>1592</v>
      </c>
      <c r="D338" t="s">
        <v>1042</v>
      </c>
      <c r="E338" t="str">
        <f t="shared" si="5"/>
        <v>Jazz Chisholm Jr.</v>
      </c>
    </row>
    <row r="339" spans="1:5" x14ac:dyDescent="0.2">
      <c r="A339">
        <v>621020</v>
      </c>
      <c r="B339" t="s">
        <v>2022</v>
      </c>
      <c r="C339" t="s">
        <v>1593</v>
      </c>
      <c r="D339" t="s">
        <v>1043</v>
      </c>
      <c r="E339" t="str">
        <f t="shared" si="5"/>
        <v>Dansby Swanson</v>
      </c>
    </row>
    <row r="340" spans="1:5" x14ac:dyDescent="0.2">
      <c r="A340">
        <v>666182</v>
      </c>
      <c r="B340" t="s">
        <v>1941</v>
      </c>
      <c r="C340" t="s">
        <v>1594</v>
      </c>
      <c r="D340" t="s">
        <v>1044</v>
      </c>
      <c r="E340" t="str">
        <f t="shared" si="5"/>
        <v>Bo Bichette</v>
      </c>
    </row>
    <row r="341" spans="1:5" x14ac:dyDescent="0.2">
      <c r="A341">
        <v>677870</v>
      </c>
      <c r="B341" t="s">
        <v>1916</v>
      </c>
      <c r="C341" t="s">
        <v>1550</v>
      </c>
      <c r="D341" t="s">
        <v>1045</v>
      </c>
      <c r="E341" t="str">
        <f t="shared" si="5"/>
        <v>Leo Jiménez</v>
      </c>
    </row>
    <row r="342" spans="1:5" x14ac:dyDescent="0.2">
      <c r="A342">
        <v>621566</v>
      </c>
      <c r="B342" t="s">
        <v>1832</v>
      </c>
      <c r="C342" t="s">
        <v>1595</v>
      </c>
      <c r="D342" t="s">
        <v>1046</v>
      </c>
      <c r="E342" t="str">
        <f t="shared" si="5"/>
        <v>Matt Olson</v>
      </c>
    </row>
    <row r="343" spans="1:5" x14ac:dyDescent="0.2">
      <c r="A343">
        <v>676694</v>
      </c>
      <c r="B343" t="s">
        <v>1808</v>
      </c>
      <c r="C343" t="s">
        <v>1596</v>
      </c>
      <c r="D343" t="s">
        <v>1047</v>
      </c>
      <c r="E343" t="str">
        <f t="shared" si="5"/>
        <v>Jake Meyers</v>
      </c>
    </row>
    <row r="344" spans="1:5" x14ac:dyDescent="0.2">
      <c r="A344">
        <v>680776</v>
      </c>
      <c r="B344" t="s">
        <v>2023</v>
      </c>
      <c r="C344" t="s">
        <v>1597</v>
      </c>
      <c r="D344" t="s">
        <v>1048</v>
      </c>
      <c r="E344" t="str">
        <f t="shared" si="5"/>
        <v>Jarren Duran</v>
      </c>
    </row>
    <row r="345" spans="1:5" x14ac:dyDescent="0.2">
      <c r="A345">
        <v>624428</v>
      </c>
      <c r="B345" t="s">
        <v>2024</v>
      </c>
      <c r="C345" t="s">
        <v>1598</v>
      </c>
      <c r="D345" t="s">
        <v>1049</v>
      </c>
      <c r="E345" t="str">
        <f t="shared" si="5"/>
        <v>Adam Frazier</v>
      </c>
    </row>
    <row r="346" spans="1:5" x14ac:dyDescent="0.2">
      <c r="A346">
        <v>669364</v>
      </c>
      <c r="B346" t="s">
        <v>2025</v>
      </c>
      <c r="C346" t="s">
        <v>1599</v>
      </c>
      <c r="D346" t="s">
        <v>1050</v>
      </c>
      <c r="E346" t="str">
        <f t="shared" si="5"/>
        <v>Xavier Edwards</v>
      </c>
    </row>
    <row r="347" spans="1:5" x14ac:dyDescent="0.2">
      <c r="A347">
        <v>695020</v>
      </c>
      <c r="B347" t="s">
        <v>2026</v>
      </c>
      <c r="C347" t="s">
        <v>1600</v>
      </c>
      <c r="D347" t="s">
        <v>1051</v>
      </c>
      <c r="E347" t="str">
        <f t="shared" si="5"/>
        <v>Tanner Murray</v>
      </c>
    </row>
    <row r="348" spans="1:5" x14ac:dyDescent="0.2">
      <c r="A348">
        <v>691907</v>
      </c>
      <c r="B348" t="s">
        <v>2027</v>
      </c>
      <c r="C348" t="s">
        <v>1601</v>
      </c>
      <c r="D348" t="s">
        <v>1052</v>
      </c>
      <c r="E348" t="str">
        <f t="shared" si="5"/>
        <v>Tsung-Che Cheng</v>
      </c>
    </row>
    <row r="349" spans="1:5" x14ac:dyDescent="0.2">
      <c r="A349">
        <v>642350</v>
      </c>
      <c r="B349" t="s">
        <v>1866</v>
      </c>
      <c r="C349" t="s">
        <v>1602</v>
      </c>
      <c r="D349" t="s">
        <v>1053</v>
      </c>
      <c r="E349" t="str">
        <f t="shared" si="5"/>
        <v>Jose Siri</v>
      </c>
    </row>
    <row r="350" spans="1:5" x14ac:dyDescent="0.2">
      <c r="A350">
        <v>687637</v>
      </c>
      <c r="B350" t="s">
        <v>1972</v>
      </c>
      <c r="C350" t="s">
        <v>1603</v>
      </c>
      <c r="D350" t="s">
        <v>1054</v>
      </c>
      <c r="E350" t="str">
        <f t="shared" si="5"/>
        <v>Dylan Beavers</v>
      </c>
    </row>
    <row r="351" spans="1:5" x14ac:dyDescent="0.2">
      <c r="A351">
        <v>681393</v>
      </c>
      <c r="B351" t="s">
        <v>1804</v>
      </c>
      <c r="C351" t="s">
        <v>1604</v>
      </c>
      <c r="D351" t="s">
        <v>1055</v>
      </c>
      <c r="E351" t="str">
        <f t="shared" si="5"/>
        <v>Connor Norby</v>
      </c>
    </row>
    <row r="352" spans="1:5" x14ac:dyDescent="0.2">
      <c r="A352">
        <v>683679</v>
      </c>
      <c r="B352" t="s">
        <v>2028</v>
      </c>
      <c r="C352" t="s">
        <v>1605</v>
      </c>
      <c r="D352" t="s">
        <v>1056</v>
      </c>
      <c r="E352" t="str">
        <f t="shared" si="5"/>
        <v>Jesus Rodriguez</v>
      </c>
    </row>
    <row r="353" spans="1:5" x14ac:dyDescent="0.2">
      <c r="A353">
        <v>624424</v>
      </c>
      <c r="B353" t="s">
        <v>1901</v>
      </c>
      <c r="C353" t="s">
        <v>1606</v>
      </c>
      <c r="D353" t="s">
        <v>1057</v>
      </c>
      <c r="E353" t="str">
        <f t="shared" si="5"/>
        <v>Michael Conforto</v>
      </c>
    </row>
    <row r="354" spans="1:5" x14ac:dyDescent="0.2">
      <c r="A354">
        <v>543877</v>
      </c>
      <c r="B354" t="s">
        <v>1922</v>
      </c>
      <c r="C354" t="s">
        <v>1607</v>
      </c>
      <c r="D354" t="s">
        <v>1058</v>
      </c>
      <c r="E354" t="str">
        <f t="shared" si="5"/>
        <v>Christian Vázquez</v>
      </c>
    </row>
    <row r="355" spans="1:5" x14ac:dyDescent="0.2">
      <c r="A355">
        <v>701852</v>
      </c>
      <c r="B355" t="s">
        <v>1992</v>
      </c>
      <c r="C355" t="s">
        <v>1608</v>
      </c>
      <c r="D355" t="s">
        <v>1059</v>
      </c>
      <c r="E355" t="str">
        <f t="shared" si="5"/>
        <v>Drew Cavanaugh</v>
      </c>
    </row>
    <row r="356" spans="1:5" x14ac:dyDescent="0.2">
      <c r="A356">
        <v>805999</v>
      </c>
      <c r="B356" t="s">
        <v>2029</v>
      </c>
      <c r="C356" t="s">
        <v>1609</v>
      </c>
      <c r="D356" t="s">
        <v>1060</v>
      </c>
      <c r="E356" t="str">
        <f t="shared" si="5"/>
        <v>A.J. Ewing</v>
      </c>
    </row>
    <row r="357" spans="1:5" x14ac:dyDescent="0.2">
      <c r="A357">
        <v>665489</v>
      </c>
      <c r="B357" t="s">
        <v>2030</v>
      </c>
      <c r="C357" t="s">
        <v>1610</v>
      </c>
      <c r="D357" t="s">
        <v>1061</v>
      </c>
      <c r="E357" t="str">
        <f t="shared" si="5"/>
        <v>Vladimir Guerrero Jr.</v>
      </c>
    </row>
    <row r="358" spans="1:5" x14ac:dyDescent="0.2">
      <c r="A358">
        <v>666971</v>
      </c>
      <c r="B358" t="s">
        <v>2031</v>
      </c>
      <c r="C358" t="s">
        <v>1611</v>
      </c>
      <c r="D358" t="s">
        <v>1062</v>
      </c>
      <c r="E358" t="str">
        <f t="shared" si="5"/>
        <v>Lourdes Gurriel Jr.</v>
      </c>
    </row>
    <row r="359" spans="1:5" x14ac:dyDescent="0.2">
      <c r="A359">
        <v>805811</v>
      </c>
      <c r="B359" t="s">
        <v>1806</v>
      </c>
      <c r="C359" t="s">
        <v>1612</v>
      </c>
      <c r="D359" t="s">
        <v>1063</v>
      </c>
      <c r="E359" t="str">
        <f t="shared" si="5"/>
        <v>Bryce Eldridge</v>
      </c>
    </row>
    <row r="360" spans="1:5" x14ac:dyDescent="0.2">
      <c r="A360">
        <v>668804</v>
      </c>
      <c r="B360" t="s">
        <v>1975</v>
      </c>
      <c r="C360" t="s">
        <v>1613</v>
      </c>
      <c r="D360" t="s">
        <v>1064</v>
      </c>
      <c r="E360" t="str">
        <f t="shared" si="5"/>
        <v>Bryan Reynolds</v>
      </c>
    </row>
    <row r="361" spans="1:5" x14ac:dyDescent="0.2">
      <c r="A361">
        <v>670156</v>
      </c>
      <c r="B361" t="s">
        <v>2032</v>
      </c>
      <c r="C361" t="s">
        <v>1614</v>
      </c>
      <c r="D361" t="s">
        <v>1065</v>
      </c>
      <c r="E361" t="str">
        <f t="shared" si="5"/>
        <v>Miles Mastrobuoni</v>
      </c>
    </row>
    <row r="362" spans="1:5" x14ac:dyDescent="0.2">
      <c r="A362">
        <v>543309</v>
      </c>
      <c r="B362" t="s">
        <v>1836</v>
      </c>
      <c r="C362" t="s">
        <v>1615</v>
      </c>
      <c r="D362" t="s">
        <v>1066</v>
      </c>
      <c r="E362" t="str">
        <f t="shared" si="5"/>
        <v>Kyle Higashioka</v>
      </c>
    </row>
    <row r="363" spans="1:5" x14ac:dyDescent="0.2">
      <c r="A363">
        <v>691777</v>
      </c>
      <c r="B363" t="s">
        <v>1875</v>
      </c>
      <c r="C363" t="s">
        <v>1467</v>
      </c>
      <c r="D363" t="s">
        <v>906</v>
      </c>
      <c r="E363" t="str">
        <f t="shared" si="5"/>
        <v>Max Muncy</v>
      </c>
    </row>
    <row r="364" spans="1:5" x14ac:dyDescent="0.2">
      <c r="A364">
        <v>655316</v>
      </c>
      <c r="B364" t="s">
        <v>2033</v>
      </c>
      <c r="C364" t="s">
        <v>1616</v>
      </c>
      <c r="D364" t="s">
        <v>1067</v>
      </c>
      <c r="E364" t="str">
        <f t="shared" si="5"/>
        <v>Andruw Monasterio</v>
      </c>
    </row>
    <row r="365" spans="1:5" x14ac:dyDescent="0.2">
      <c r="A365">
        <v>682818</v>
      </c>
      <c r="B365" t="s">
        <v>2034</v>
      </c>
      <c r="C365" t="s">
        <v>1617</v>
      </c>
      <c r="D365" t="s">
        <v>1068</v>
      </c>
      <c r="E365" t="str">
        <f t="shared" si="5"/>
        <v>Yohendrick Piñango</v>
      </c>
    </row>
    <row r="366" spans="1:5" x14ac:dyDescent="0.2">
      <c r="A366">
        <v>624585</v>
      </c>
      <c r="B366" t="s">
        <v>1793</v>
      </c>
      <c r="C366" t="s">
        <v>1618</v>
      </c>
      <c r="D366" t="s">
        <v>1069</v>
      </c>
      <c r="E366" t="str">
        <f t="shared" si="5"/>
        <v>Jorge Soler</v>
      </c>
    </row>
    <row r="367" spans="1:5" x14ac:dyDescent="0.2">
      <c r="A367">
        <v>666139</v>
      </c>
      <c r="B367" t="s">
        <v>2012</v>
      </c>
      <c r="C367" t="s">
        <v>1427</v>
      </c>
      <c r="D367" t="s">
        <v>1070</v>
      </c>
      <c r="E367" t="str">
        <f t="shared" si="5"/>
        <v>Josh Lowe</v>
      </c>
    </row>
    <row r="368" spans="1:5" x14ac:dyDescent="0.2">
      <c r="A368">
        <v>519317</v>
      </c>
      <c r="B368" t="s">
        <v>2035</v>
      </c>
      <c r="C368" t="s">
        <v>1619</v>
      </c>
      <c r="D368" t="s">
        <v>1071</v>
      </c>
      <c r="E368" t="str">
        <f t="shared" si="5"/>
        <v>Giancarlo Stanton</v>
      </c>
    </row>
    <row r="369" spans="1:5" x14ac:dyDescent="0.2">
      <c r="A369">
        <v>694378</v>
      </c>
      <c r="B369" t="s">
        <v>1821</v>
      </c>
      <c r="C369" t="s">
        <v>1369</v>
      </c>
      <c r="D369" t="s">
        <v>1072</v>
      </c>
      <c r="E369" t="str">
        <f t="shared" si="5"/>
        <v>Jacob Gonzalez</v>
      </c>
    </row>
    <row r="370" spans="1:5" x14ac:dyDescent="0.2">
      <c r="A370">
        <v>663457</v>
      </c>
      <c r="B370" t="s">
        <v>2036</v>
      </c>
      <c r="C370" t="s">
        <v>1620</v>
      </c>
      <c r="D370" t="s">
        <v>1073</v>
      </c>
      <c r="E370" t="str">
        <f t="shared" si="5"/>
        <v>Lars Nootbaar</v>
      </c>
    </row>
    <row r="371" spans="1:5" x14ac:dyDescent="0.2">
      <c r="A371">
        <v>676609</v>
      </c>
      <c r="B371" t="s">
        <v>1970</v>
      </c>
      <c r="C371" t="s">
        <v>1621</v>
      </c>
      <c r="D371" t="s">
        <v>1074</v>
      </c>
      <c r="E371" t="str">
        <f t="shared" si="5"/>
        <v>José Caballero</v>
      </c>
    </row>
    <row r="372" spans="1:5" x14ac:dyDescent="0.2">
      <c r="A372">
        <v>691406</v>
      </c>
      <c r="B372" t="s">
        <v>1893</v>
      </c>
      <c r="C372" t="s">
        <v>1622</v>
      </c>
      <c r="D372" t="s">
        <v>1075</v>
      </c>
      <c r="E372" t="str">
        <f t="shared" si="5"/>
        <v>Junior Caminero</v>
      </c>
    </row>
    <row r="373" spans="1:5" x14ac:dyDescent="0.2">
      <c r="A373">
        <v>700337</v>
      </c>
      <c r="B373" t="s">
        <v>2037</v>
      </c>
      <c r="C373" t="s">
        <v>1623</v>
      </c>
      <c r="D373" t="s">
        <v>1076</v>
      </c>
      <c r="E373" t="str">
        <f t="shared" si="5"/>
        <v>Edgar Quero</v>
      </c>
    </row>
    <row r="374" spans="1:5" x14ac:dyDescent="0.2">
      <c r="A374">
        <v>670231</v>
      </c>
      <c r="B374" t="s">
        <v>2038</v>
      </c>
      <c r="C374" t="s">
        <v>1624</v>
      </c>
      <c r="D374" t="s">
        <v>1077</v>
      </c>
      <c r="E374" t="str">
        <f t="shared" si="5"/>
        <v>John Rave</v>
      </c>
    </row>
    <row r="375" spans="1:5" x14ac:dyDescent="0.2">
      <c r="A375">
        <v>701675</v>
      </c>
      <c r="B375" t="s">
        <v>1851</v>
      </c>
      <c r="C375" t="s">
        <v>1625</v>
      </c>
      <c r="D375" t="s">
        <v>1078</v>
      </c>
      <c r="E375" t="str">
        <f t="shared" si="5"/>
        <v>Nathan Church</v>
      </c>
    </row>
    <row r="376" spans="1:5" x14ac:dyDescent="0.2">
      <c r="A376">
        <v>695508</v>
      </c>
      <c r="B376" t="s">
        <v>1968</v>
      </c>
      <c r="C376" t="s">
        <v>1626</v>
      </c>
      <c r="D376" t="s">
        <v>1079</v>
      </c>
      <c r="E376" t="str">
        <f t="shared" si="5"/>
        <v>Cam Cauley</v>
      </c>
    </row>
    <row r="377" spans="1:5" x14ac:dyDescent="0.2">
      <c r="A377">
        <v>645305</v>
      </c>
      <c r="B377" t="s">
        <v>2039</v>
      </c>
      <c r="C377" t="s">
        <v>1278</v>
      </c>
      <c r="D377" t="s">
        <v>1080</v>
      </c>
      <c r="E377" t="str">
        <f t="shared" si="5"/>
        <v>Ali Sánchez</v>
      </c>
    </row>
    <row r="378" spans="1:5" x14ac:dyDescent="0.2">
      <c r="A378">
        <v>668901</v>
      </c>
      <c r="B378" t="s">
        <v>2040</v>
      </c>
      <c r="C378" t="s">
        <v>1627</v>
      </c>
      <c r="D378" t="s">
        <v>1081</v>
      </c>
      <c r="E378" t="str">
        <f t="shared" si="5"/>
        <v>Mark Vientos</v>
      </c>
    </row>
    <row r="379" spans="1:5" x14ac:dyDescent="0.2">
      <c r="A379">
        <v>802415</v>
      </c>
      <c r="B379" t="s">
        <v>2041</v>
      </c>
      <c r="C379" t="s">
        <v>1628</v>
      </c>
      <c r="D379" t="s">
        <v>1082</v>
      </c>
      <c r="E379" t="str">
        <f t="shared" si="5"/>
        <v>Chandler Simpson</v>
      </c>
    </row>
    <row r="380" spans="1:5" x14ac:dyDescent="0.2">
      <c r="A380">
        <v>682997</v>
      </c>
      <c r="B380" t="s">
        <v>1839</v>
      </c>
      <c r="C380" t="s">
        <v>1629</v>
      </c>
      <c r="D380" t="s">
        <v>1083</v>
      </c>
      <c r="E380" t="str">
        <f t="shared" si="5"/>
        <v>Tyler Callihan</v>
      </c>
    </row>
    <row r="381" spans="1:5" x14ac:dyDescent="0.2">
      <c r="A381">
        <v>606992</v>
      </c>
      <c r="B381" t="s">
        <v>1936</v>
      </c>
      <c r="C381" t="s">
        <v>1630</v>
      </c>
      <c r="D381" t="s">
        <v>1084</v>
      </c>
      <c r="E381" t="str">
        <f t="shared" si="5"/>
        <v>Eric Haase</v>
      </c>
    </row>
    <row r="382" spans="1:5" x14ac:dyDescent="0.2">
      <c r="A382">
        <v>660710</v>
      </c>
      <c r="B382" t="s">
        <v>2042</v>
      </c>
      <c r="C382" t="s">
        <v>1631</v>
      </c>
      <c r="D382" t="s">
        <v>1085</v>
      </c>
      <c r="E382" t="str">
        <f t="shared" si="5"/>
        <v>Rodolfo Durán</v>
      </c>
    </row>
    <row r="383" spans="1:5" x14ac:dyDescent="0.2">
      <c r="A383">
        <v>630105</v>
      </c>
      <c r="B383" t="s">
        <v>1808</v>
      </c>
      <c r="C383" t="s">
        <v>1632</v>
      </c>
      <c r="D383" t="s">
        <v>1086</v>
      </c>
      <c r="E383" t="str">
        <f t="shared" si="5"/>
        <v>Jake Cronenworth</v>
      </c>
    </row>
    <row r="384" spans="1:5" x14ac:dyDescent="0.2">
      <c r="A384">
        <v>646240</v>
      </c>
      <c r="B384" t="s">
        <v>1856</v>
      </c>
      <c r="C384" t="s">
        <v>1633</v>
      </c>
      <c r="D384" t="s">
        <v>1087</v>
      </c>
      <c r="E384" t="str">
        <f t="shared" si="5"/>
        <v>Rafael Devers</v>
      </c>
    </row>
    <row r="385" spans="1:5" x14ac:dyDescent="0.2">
      <c r="A385">
        <v>665828</v>
      </c>
      <c r="B385" t="s">
        <v>2043</v>
      </c>
      <c r="C385" t="s">
        <v>1634</v>
      </c>
      <c r="D385" t="s">
        <v>1088</v>
      </c>
      <c r="E385" t="str">
        <f t="shared" si="5"/>
        <v>Oswaldo Cabrera</v>
      </c>
    </row>
    <row r="386" spans="1:5" x14ac:dyDescent="0.2">
      <c r="A386">
        <v>660271</v>
      </c>
      <c r="B386" t="s">
        <v>2044</v>
      </c>
      <c r="C386" t="s">
        <v>1635</v>
      </c>
      <c r="D386" t="s">
        <v>1089</v>
      </c>
      <c r="E386" t="str">
        <f t="shared" si="5"/>
        <v>Shohei Ohtani</v>
      </c>
    </row>
    <row r="387" spans="1:5" x14ac:dyDescent="0.2">
      <c r="A387">
        <v>676475</v>
      </c>
      <c r="B387" t="s">
        <v>1890</v>
      </c>
      <c r="C387" t="s">
        <v>1636</v>
      </c>
      <c r="D387" t="s">
        <v>1090</v>
      </c>
      <c r="E387" t="str">
        <f t="shared" ref="E387:E450" si="6">B387&amp;" "&amp;C387</f>
        <v>Alec Burleson</v>
      </c>
    </row>
    <row r="388" spans="1:5" x14ac:dyDescent="0.2">
      <c r="A388">
        <v>678489</v>
      </c>
      <c r="B388" t="s">
        <v>1793</v>
      </c>
      <c r="C388" t="s">
        <v>1637</v>
      </c>
      <c r="D388" t="s">
        <v>1091</v>
      </c>
      <c r="E388" t="str">
        <f t="shared" si="6"/>
        <v>Jorge Barrosa</v>
      </c>
    </row>
    <row r="389" spans="1:5" x14ac:dyDescent="0.2">
      <c r="A389">
        <v>650333</v>
      </c>
      <c r="B389" t="s">
        <v>1796</v>
      </c>
      <c r="C389" t="s">
        <v>1638</v>
      </c>
      <c r="D389" t="s">
        <v>1092</v>
      </c>
      <c r="E389" t="str">
        <f t="shared" si="6"/>
        <v>Luis Arraez</v>
      </c>
    </row>
    <row r="390" spans="1:5" x14ac:dyDescent="0.2">
      <c r="A390">
        <v>695681</v>
      </c>
      <c r="B390" t="s">
        <v>1922</v>
      </c>
      <c r="C390" t="s">
        <v>1514</v>
      </c>
      <c r="D390" t="s">
        <v>1093</v>
      </c>
      <c r="E390" t="str">
        <f t="shared" si="6"/>
        <v>Christian Moore</v>
      </c>
    </row>
    <row r="391" spans="1:5" x14ac:dyDescent="0.2">
      <c r="A391">
        <v>672386</v>
      </c>
      <c r="B391" t="s">
        <v>2045</v>
      </c>
      <c r="C391" t="s">
        <v>1639</v>
      </c>
      <c r="D391" t="s">
        <v>1094</v>
      </c>
      <c r="E391" t="str">
        <f t="shared" si="6"/>
        <v>Alejandro Kirk</v>
      </c>
    </row>
    <row r="392" spans="1:5" x14ac:dyDescent="0.2">
      <c r="A392">
        <v>506702</v>
      </c>
      <c r="B392" t="s">
        <v>2046</v>
      </c>
      <c r="C392" t="s">
        <v>1640</v>
      </c>
      <c r="D392" t="s">
        <v>1095</v>
      </c>
      <c r="E392" t="str">
        <f t="shared" si="6"/>
        <v>Sandy León</v>
      </c>
    </row>
    <row r="393" spans="1:5" x14ac:dyDescent="0.2">
      <c r="A393">
        <v>663757</v>
      </c>
      <c r="B393" t="s">
        <v>2047</v>
      </c>
      <c r="C393" t="s">
        <v>1641</v>
      </c>
      <c r="D393" t="s">
        <v>1096</v>
      </c>
      <c r="E393" t="str">
        <f t="shared" si="6"/>
        <v>Trent Grisham</v>
      </c>
    </row>
    <row r="394" spans="1:5" x14ac:dyDescent="0.2">
      <c r="A394">
        <v>805808</v>
      </c>
      <c r="B394" t="s">
        <v>1887</v>
      </c>
      <c r="C394" t="s">
        <v>1642</v>
      </c>
      <c r="D394" t="s">
        <v>1097</v>
      </c>
      <c r="E394" t="str">
        <f t="shared" si="6"/>
        <v>Kevin McGonigle</v>
      </c>
    </row>
    <row r="395" spans="1:5" x14ac:dyDescent="0.2">
      <c r="A395">
        <v>702222</v>
      </c>
      <c r="B395" t="s">
        <v>1993</v>
      </c>
      <c r="C395" t="s">
        <v>1280</v>
      </c>
      <c r="D395" t="s">
        <v>1098</v>
      </c>
      <c r="E395" t="str">
        <f t="shared" si="6"/>
        <v>Justin Crawford</v>
      </c>
    </row>
    <row r="396" spans="1:5" x14ac:dyDescent="0.2">
      <c r="A396">
        <v>665052</v>
      </c>
      <c r="B396" t="s">
        <v>1273</v>
      </c>
      <c r="C396" t="s">
        <v>1643</v>
      </c>
      <c r="D396" t="s">
        <v>1099</v>
      </c>
      <c r="E396" t="str">
        <f t="shared" si="6"/>
        <v>Griffin Conine</v>
      </c>
    </row>
    <row r="397" spans="1:5" x14ac:dyDescent="0.2">
      <c r="A397">
        <v>607043</v>
      </c>
      <c r="B397" t="s">
        <v>1831</v>
      </c>
      <c r="C397" t="s">
        <v>1644</v>
      </c>
      <c r="D397" t="s">
        <v>1100</v>
      </c>
      <c r="E397" t="str">
        <f t="shared" si="6"/>
        <v>Brandon Nimmo</v>
      </c>
    </row>
    <row r="398" spans="1:5" x14ac:dyDescent="0.2">
      <c r="A398">
        <v>664056</v>
      </c>
      <c r="B398" t="s">
        <v>2048</v>
      </c>
      <c r="C398" t="s">
        <v>1645</v>
      </c>
      <c r="D398" t="s">
        <v>1101</v>
      </c>
      <c r="E398" t="str">
        <f t="shared" si="6"/>
        <v>Harrison Bader</v>
      </c>
    </row>
    <row r="399" spans="1:5" x14ac:dyDescent="0.2">
      <c r="A399">
        <v>671739</v>
      </c>
      <c r="B399" t="s">
        <v>1901</v>
      </c>
      <c r="C399" t="s">
        <v>1646</v>
      </c>
      <c r="D399" t="s">
        <v>1102</v>
      </c>
      <c r="E399" t="str">
        <f t="shared" si="6"/>
        <v>Michael Harris II</v>
      </c>
    </row>
    <row r="400" spans="1:5" x14ac:dyDescent="0.2">
      <c r="A400">
        <v>681987</v>
      </c>
      <c r="B400" t="s">
        <v>2049</v>
      </c>
      <c r="C400" t="s">
        <v>1647</v>
      </c>
      <c r="D400" t="s">
        <v>1103</v>
      </c>
      <c r="E400" t="str">
        <f t="shared" si="6"/>
        <v>Nate Eaton</v>
      </c>
    </row>
    <row r="401" spans="1:5" x14ac:dyDescent="0.2">
      <c r="A401">
        <v>694377</v>
      </c>
      <c r="B401" t="s">
        <v>1919</v>
      </c>
      <c r="C401" t="s">
        <v>1648</v>
      </c>
      <c r="D401" t="s">
        <v>1104</v>
      </c>
      <c r="E401" t="str">
        <f t="shared" si="6"/>
        <v>Nick Yorke</v>
      </c>
    </row>
    <row r="402" spans="1:5" x14ac:dyDescent="0.2">
      <c r="A402">
        <v>666624</v>
      </c>
      <c r="B402" t="s">
        <v>2050</v>
      </c>
      <c r="C402" t="s">
        <v>1649</v>
      </c>
      <c r="D402" t="s">
        <v>1105</v>
      </c>
      <c r="E402" t="str">
        <f t="shared" si="6"/>
        <v>Christopher Morel</v>
      </c>
    </row>
    <row r="403" spans="1:5" x14ac:dyDescent="0.2">
      <c r="A403">
        <v>656775</v>
      </c>
      <c r="B403" t="s">
        <v>2051</v>
      </c>
      <c r="C403" t="s">
        <v>1650</v>
      </c>
      <c r="D403" t="s">
        <v>1106</v>
      </c>
      <c r="E403" t="str">
        <f t="shared" si="6"/>
        <v>Cedric Mullins</v>
      </c>
    </row>
    <row r="404" spans="1:5" x14ac:dyDescent="0.2">
      <c r="A404">
        <v>500743</v>
      </c>
      <c r="B404" t="s">
        <v>1931</v>
      </c>
      <c r="C404" t="s">
        <v>1573</v>
      </c>
      <c r="D404" t="s">
        <v>1107</v>
      </c>
      <c r="E404" t="str">
        <f t="shared" si="6"/>
        <v>Miguel Rojas</v>
      </c>
    </row>
    <row r="405" spans="1:5" x14ac:dyDescent="0.2">
      <c r="A405">
        <v>694192</v>
      </c>
      <c r="B405" t="s">
        <v>1277</v>
      </c>
      <c r="C405" t="s">
        <v>1651</v>
      </c>
      <c r="D405" t="s">
        <v>1108</v>
      </c>
      <c r="E405" t="str">
        <f t="shared" si="6"/>
        <v>Jackson Chourio</v>
      </c>
    </row>
    <row r="406" spans="1:5" x14ac:dyDescent="0.2">
      <c r="A406">
        <v>660688</v>
      </c>
      <c r="B406" t="s">
        <v>2052</v>
      </c>
      <c r="C406" t="s">
        <v>1458</v>
      </c>
      <c r="D406" t="s">
        <v>1109</v>
      </c>
      <c r="E406" t="str">
        <f t="shared" si="6"/>
        <v>Keibert Ruiz</v>
      </c>
    </row>
    <row r="407" spans="1:5" x14ac:dyDescent="0.2">
      <c r="A407">
        <v>624431</v>
      </c>
      <c r="B407" t="s">
        <v>1866</v>
      </c>
      <c r="C407" t="s">
        <v>1652</v>
      </c>
      <c r="D407" t="s">
        <v>1110</v>
      </c>
      <c r="E407" t="str">
        <f t="shared" si="6"/>
        <v>Jose Trevino</v>
      </c>
    </row>
    <row r="408" spans="1:5" x14ac:dyDescent="0.2">
      <c r="A408">
        <v>669288</v>
      </c>
      <c r="B408" t="s">
        <v>1883</v>
      </c>
      <c r="C408" t="s">
        <v>1295</v>
      </c>
      <c r="D408" t="s">
        <v>1111</v>
      </c>
      <c r="E408" t="str">
        <f t="shared" si="6"/>
        <v>Daniel Johnson</v>
      </c>
    </row>
    <row r="409" spans="1:5" x14ac:dyDescent="0.2">
      <c r="A409">
        <v>645302</v>
      </c>
      <c r="B409" t="s">
        <v>1904</v>
      </c>
      <c r="C409" t="s">
        <v>1653</v>
      </c>
      <c r="D409" t="s">
        <v>1112</v>
      </c>
      <c r="E409" t="str">
        <f t="shared" si="6"/>
        <v>Victor Robles</v>
      </c>
    </row>
    <row r="410" spans="1:5" x14ac:dyDescent="0.2">
      <c r="A410">
        <v>677595</v>
      </c>
      <c r="B410" t="s">
        <v>2053</v>
      </c>
      <c r="C410" t="s">
        <v>1654</v>
      </c>
      <c r="D410" t="s">
        <v>1113</v>
      </c>
      <c r="E410" t="str">
        <f t="shared" si="6"/>
        <v>Ronny Mauricio</v>
      </c>
    </row>
    <row r="411" spans="1:5" x14ac:dyDescent="0.2">
      <c r="A411">
        <v>805672</v>
      </c>
      <c r="B411" t="s">
        <v>2054</v>
      </c>
      <c r="C411" t="s">
        <v>1655</v>
      </c>
      <c r="D411" t="s">
        <v>1114</v>
      </c>
      <c r="E411" t="str">
        <f t="shared" si="6"/>
        <v>Collin Price</v>
      </c>
    </row>
    <row r="412" spans="1:5" x14ac:dyDescent="0.2">
      <c r="A412">
        <v>686797</v>
      </c>
      <c r="B412" t="s">
        <v>2055</v>
      </c>
      <c r="C412" t="s">
        <v>1526</v>
      </c>
      <c r="D412" t="s">
        <v>1115</v>
      </c>
      <c r="E412" t="str">
        <f t="shared" si="6"/>
        <v>Brooks Lee</v>
      </c>
    </row>
    <row r="413" spans="1:5" x14ac:dyDescent="0.2">
      <c r="A413">
        <v>641820</v>
      </c>
      <c r="B413" t="s">
        <v>2056</v>
      </c>
      <c r="C413" t="s">
        <v>1656</v>
      </c>
      <c r="D413" t="s">
        <v>1116</v>
      </c>
      <c r="E413" t="str">
        <f t="shared" si="6"/>
        <v>Trey Mancini</v>
      </c>
    </row>
    <row r="414" spans="1:5" x14ac:dyDescent="0.2">
      <c r="A414">
        <v>666211</v>
      </c>
      <c r="B414" t="s">
        <v>1697</v>
      </c>
      <c r="C414" t="s">
        <v>1657</v>
      </c>
      <c r="D414" t="s">
        <v>1117</v>
      </c>
      <c r="E414" t="str">
        <f t="shared" si="6"/>
        <v>Taylor Trammell</v>
      </c>
    </row>
    <row r="415" spans="1:5" x14ac:dyDescent="0.2">
      <c r="A415">
        <v>682674</v>
      </c>
      <c r="B415" t="s">
        <v>1904</v>
      </c>
      <c r="C415" t="s">
        <v>1658</v>
      </c>
      <c r="D415" t="s">
        <v>1118</v>
      </c>
      <c r="E415" t="str">
        <f t="shared" si="6"/>
        <v>Victor Bericoto</v>
      </c>
    </row>
    <row r="416" spans="1:5" x14ac:dyDescent="0.2">
      <c r="A416">
        <v>605141</v>
      </c>
      <c r="B416" t="s">
        <v>2057</v>
      </c>
      <c r="C416" t="s">
        <v>1659</v>
      </c>
      <c r="D416" t="s">
        <v>1119</v>
      </c>
      <c r="E416" t="str">
        <f t="shared" si="6"/>
        <v>Mookie Betts</v>
      </c>
    </row>
    <row r="417" spans="1:5" x14ac:dyDescent="0.2">
      <c r="A417">
        <v>650859</v>
      </c>
      <c r="B417" t="s">
        <v>1796</v>
      </c>
      <c r="C417" t="s">
        <v>1660</v>
      </c>
      <c r="D417" t="s">
        <v>1120</v>
      </c>
      <c r="E417" t="str">
        <f t="shared" si="6"/>
        <v>Luis Rengifo</v>
      </c>
    </row>
    <row r="418" spans="1:5" x14ac:dyDescent="0.2">
      <c r="A418">
        <v>664034</v>
      </c>
      <c r="B418" t="s">
        <v>2058</v>
      </c>
      <c r="C418" t="s">
        <v>1661</v>
      </c>
      <c r="D418" t="s">
        <v>1121</v>
      </c>
      <c r="E418" t="str">
        <f t="shared" si="6"/>
        <v>Ty France</v>
      </c>
    </row>
    <row r="419" spans="1:5" x14ac:dyDescent="0.2">
      <c r="A419">
        <v>686217</v>
      </c>
      <c r="B419" t="s">
        <v>1979</v>
      </c>
      <c r="C419" t="s">
        <v>1662</v>
      </c>
      <c r="D419" t="s">
        <v>1122</v>
      </c>
      <c r="E419" t="str">
        <f t="shared" si="6"/>
        <v>Sal Frelick</v>
      </c>
    </row>
    <row r="420" spans="1:5" x14ac:dyDescent="0.2">
      <c r="A420">
        <v>682663</v>
      </c>
      <c r="B420" t="s">
        <v>2059</v>
      </c>
      <c r="C420" t="s">
        <v>1663</v>
      </c>
      <c r="D420" t="s">
        <v>1123</v>
      </c>
      <c r="E420" t="str">
        <f t="shared" si="6"/>
        <v>Agustín Ramírez</v>
      </c>
    </row>
    <row r="421" spans="1:5" x14ac:dyDescent="0.2">
      <c r="A421">
        <v>666126</v>
      </c>
      <c r="B421" t="s">
        <v>1816</v>
      </c>
      <c r="C421" t="s">
        <v>1664</v>
      </c>
      <c r="D421" t="s">
        <v>1124</v>
      </c>
      <c r="E421" t="str">
        <f t="shared" si="6"/>
        <v>Carlos Cortes</v>
      </c>
    </row>
    <row r="422" spans="1:5" x14ac:dyDescent="0.2">
      <c r="A422">
        <v>682998</v>
      </c>
      <c r="B422" t="s">
        <v>2060</v>
      </c>
      <c r="C422" t="s">
        <v>1665</v>
      </c>
      <c r="D422" t="s">
        <v>1125</v>
      </c>
      <c r="E422" t="str">
        <f t="shared" si="6"/>
        <v>Corbin Carroll</v>
      </c>
    </row>
    <row r="423" spans="1:5" x14ac:dyDescent="0.2">
      <c r="A423">
        <v>647304</v>
      </c>
      <c r="B423" t="s">
        <v>2012</v>
      </c>
      <c r="C423" t="s">
        <v>1468</v>
      </c>
      <c r="D423" t="s">
        <v>1126</v>
      </c>
      <c r="E423" t="str">
        <f t="shared" si="6"/>
        <v>Josh Naylor</v>
      </c>
    </row>
    <row r="424" spans="1:5" x14ac:dyDescent="0.2">
      <c r="A424">
        <v>694249</v>
      </c>
      <c r="B424" t="s">
        <v>1669</v>
      </c>
      <c r="C424" t="s">
        <v>1666</v>
      </c>
      <c r="D424" t="s">
        <v>1127</v>
      </c>
      <c r="E424" t="str">
        <f t="shared" si="6"/>
        <v>Cole Carrigg</v>
      </c>
    </row>
    <row r="425" spans="1:5" x14ac:dyDescent="0.2">
      <c r="A425">
        <v>678554</v>
      </c>
      <c r="B425" t="s">
        <v>2061</v>
      </c>
      <c r="C425" t="s">
        <v>1667</v>
      </c>
      <c r="D425" t="s">
        <v>1128</v>
      </c>
      <c r="E425" t="str">
        <f t="shared" si="6"/>
        <v>Curtis Mead</v>
      </c>
    </row>
    <row r="426" spans="1:5" x14ac:dyDescent="0.2">
      <c r="A426">
        <v>666018</v>
      </c>
      <c r="B426" t="s">
        <v>2062</v>
      </c>
      <c r="C426" t="s">
        <v>1668</v>
      </c>
      <c r="D426" t="s">
        <v>1129</v>
      </c>
      <c r="E426" t="str">
        <f t="shared" si="6"/>
        <v>Jonathan Aranda</v>
      </c>
    </row>
    <row r="427" spans="1:5" x14ac:dyDescent="0.2">
      <c r="A427">
        <v>805904</v>
      </c>
      <c r="B427" t="s">
        <v>1852</v>
      </c>
      <c r="C427" t="s">
        <v>1669</v>
      </c>
      <c r="D427" t="s">
        <v>1130</v>
      </c>
      <c r="E427" t="str">
        <f t="shared" si="6"/>
        <v>Zach Cole</v>
      </c>
    </row>
    <row r="428" spans="1:5" x14ac:dyDescent="0.2">
      <c r="A428">
        <v>665861</v>
      </c>
      <c r="B428" t="s">
        <v>2063</v>
      </c>
      <c r="C428" t="s">
        <v>1670</v>
      </c>
      <c r="D428" t="s">
        <v>1131</v>
      </c>
      <c r="E428" t="str">
        <f t="shared" si="6"/>
        <v>Sebastián Rivero</v>
      </c>
    </row>
    <row r="429" spans="1:5" x14ac:dyDescent="0.2">
      <c r="A429">
        <v>669707</v>
      </c>
      <c r="B429" t="s">
        <v>2064</v>
      </c>
      <c r="C429" t="s">
        <v>1671</v>
      </c>
      <c r="D429" t="s">
        <v>1132</v>
      </c>
      <c r="E429" t="str">
        <f t="shared" si="6"/>
        <v>Jared Triolo</v>
      </c>
    </row>
    <row r="430" spans="1:5" x14ac:dyDescent="0.2">
      <c r="A430">
        <v>804668</v>
      </c>
      <c r="B430" t="s">
        <v>1856</v>
      </c>
      <c r="C430" t="s">
        <v>1672</v>
      </c>
      <c r="D430" t="s">
        <v>1133</v>
      </c>
      <c r="E430" t="str">
        <f t="shared" si="6"/>
        <v>Rafael Flores Jr.</v>
      </c>
    </row>
    <row r="431" spans="1:5" x14ac:dyDescent="0.2">
      <c r="A431">
        <v>668709</v>
      </c>
      <c r="B431" t="s">
        <v>1991</v>
      </c>
      <c r="C431" t="s">
        <v>1673</v>
      </c>
      <c r="D431" t="s">
        <v>1134</v>
      </c>
      <c r="E431" t="str">
        <f t="shared" si="6"/>
        <v>JJ Bleday</v>
      </c>
    </row>
    <row r="432" spans="1:5" x14ac:dyDescent="0.2">
      <c r="A432">
        <v>695257</v>
      </c>
      <c r="B432" t="s">
        <v>2065</v>
      </c>
      <c r="C432" t="s">
        <v>1674</v>
      </c>
      <c r="D432" t="s">
        <v>1135</v>
      </c>
      <c r="E432" t="str">
        <f t="shared" si="6"/>
        <v>Billy Cook</v>
      </c>
    </row>
    <row r="433" spans="1:5" x14ac:dyDescent="0.2">
      <c r="A433">
        <v>677587</v>
      </c>
      <c r="B433" t="s">
        <v>2066</v>
      </c>
      <c r="C433" t="s">
        <v>1675</v>
      </c>
      <c r="D433" t="s">
        <v>1136</v>
      </c>
      <c r="E433" t="str">
        <f t="shared" si="6"/>
        <v>Brayan Rocchio</v>
      </c>
    </row>
    <row r="434" spans="1:5" x14ac:dyDescent="0.2">
      <c r="A434">
        <v>620443</v>
      </c>
      <c r="B434" t="s">
        <v>1796</v>
      </c>
      <c r="C434" t="s">
        <v>1676</v>
      </c>
      <c r="D434" t="s">
        <v>1137</v>
      </c>
      <c r="E434" t="str">
        <f t="shared" si="6"/>
        <v>Luis Torrens</v>
      </c>
    </row>
    <row r="435" spans="1:5" x14ac:dyDescent="0.2">
      <c r="A435">
        <v>689414</v>
      </c>
      <c r="B435" t="s">
        <v>2067</v>
      </c>
      <c r="C435" t="s">
        <v>1677</v>
      </c>
      <c r="D435" t="s">
        <v>1138</v>
      </c>
      <c r="E435" t="str">
        <f t="shared" si="6"/>
        <v>Liam Hicks</v>
      </c>
    </row>
    <row r="436" spans="1:5" x14ac:dyDescent="0.2">
      <c r="A436">
        <v>656976</v>
      </c>
      <c r="B436" t="s">
        <v>2068</v>
      </c>
      <c r="C436" t="s">
        <v>1325</v>
      </c>
      <c r="D436" t="s">
        <v>1139</v>
      </c>
      <c r="E436" t="str">
        <f t="shared" si="6"/>
        <v>Pavin Smith</v>
      </c>
    </row>
    <row r="437" spans="1:5" x14ac:dyDescent="0.2">
      <c r="A437">
        <v>677950</v>
      </c>
      <c r="B437" t="s">
        <v>2069</v>
      </c>
      <c r="C437" t="s">
        <v>1408</v>
      </c>
      <c r="D437" t="s">
        <v>1140</v>
      </c>
      <c r="E437" t="str">
        <f t="shared" si="6"/>
        <v>Alek Thomas</v>
      </c>
    </row>
    <row r="438" spans="1:5" x14ac:dyDescent="0.2">
      <c r="A438">
        <v>543510</v>
      </c>
      <c r="B438" t="s">
        <v>1891</v>
      </c>
      <c r="C438" t="s">
        <v>1678</v>
      </c>
      <c r="D438" t="s">
        <v>1141</v>
      </c>
      <c r="E438" t="str">
        <f t="shared" si="6"/>
        <v>James McCann</v>
      </c>
    </row>
    <row r="439" spans="1:5" x14ac:dyDescent="0.2">
      <c r="A439">
        <v>800325</v>
      </c>
      <c r="B439" t="s">
        <v>1796</v>
      </c>
      <c r="C439" t="s">
        <v>1679</v>
      </c>
      <c r="D439" t="s">
        <v>1142</v>
      </c>
      <c r="E439" t="str">
        <f t="shared" si="6"/>
        <v>Luis Lara</v>
      </c>
    </row>
    <row r="440" spans="1:5" x14ac:dyDescent="0.2">
      <c r="A440">
        <v>695238</v>
      </c>
      <c r="B440" t="s">
        <v>1822</v>
      </c>
      <c r="C440" t="s">
        <v>1680</v>
      </c>
      <c r="D440" t="s">
        <v>1143</v>
      </c>
      <c r="E440" t="str">
        <f t="shared" si="6"/>
        <v>Will Wagner</v>
      </c>
    </row>
    <row r="441" spans="1:5" x14ac:dyDescent="0.2">
      <c r="A441">
        <v>702176</v>
      </c>
      <c r="B441" t="s">
        <v>2070</v>
      </c>
      <c r="C441" t="s">
        <v>1681</v>
      </c>
      <c r="D441" t="s">
        <v>1144</v>
      </c>
      <c r="E441" t="str">
        <f t="shared" si="6"/>
        <v>Alan Roden</v>
      </c>
    </row>
    <row r="442" spans="1:5" x14ac:dyDescent="0.2">
      <c r="A442">
        <v>683748</v>
      </c>
      <c r="B442" t="s">
        <v>1904</v>
      </c>
      <c r="C442" t="s">
        <v>1682</v>
      </c>
      <c r="D442" t="s">
        <v>1145</v>
      </c>
      <c r="E442" t="str">
        <f t="shared" si="6"/>
        <v>Victor Mesa Jr.</v>
      </c>
    </row>
    <row r="443" spans="1:5" x14ac:dyDescent="0.2">
      <c r="A443">
        <v>695600</v>
      </c>
      <c r="B443" t="s">
        <v>1317</v>
      </c>
      <c r="C443" t="s">
        <v>1683</v>
      </c>
      <c r="D443" t="s">
        <v>1146</v>
      </c>
      <c r="E443" t="str">
        <f t="shared" si="6"/>
        <v>Carter Jensen</v>
      </c>
    </row>
    <row r="444" spans="1:5" x14ac:dyDescent="0.2">
      <c r="A444">
        <v>665877</v>
      </c>
      <c r="B444" t="s">
        <v>1970</v>
      </c>
      <c r="C444" t="s">
        <v>1684</v>
      </c>
      <c r="D444" t="s">
        <v>1147</v>
      </c>
      <c r="E444" t="str">
        <f t="shared" si="6"/>
        <v>José Fermín</v>
      </c>
    </row>
    <row r="445" spans="1:5" x14ac:dyDescent="0.2">
      <c r="A445">
        <v>640459</v>
      </c>
      <c r="B445" t="s">
        <v>2071</v>
      </c>
      <c r="C445" t="s">
        <v>1685</v>
      </c>
      <c r="D445" t="s">
        <v>1148</v>
      </c>
      <c r="E445" t="str">
        <f t="shared" si="6"/>
        <v>Brian Navarreto</v>
      </c>
    </row>
    <row r="446" spans="1:5" x14ac:dyDescent="0.2">
      <c r="A446">
        <v>694203</v>
      </c>
      <c r="B446" t="s">
        <v>2072</v>
      </c>
      <c r="C446" t="s">
        <v>1686</v>
      </c>
      <c r="D446" t="s">
        <v>1149</v>
      </c>
      <c r="E446" t="str">
        <f t="shared" si="6"/>
        <v>Denzer Guzman</v>
      </c>
    </row>
    <row r="447" spans="1:5" x14ac:dyDescent="0.2">
      <c r="A447">
        <v>687401</v>
      </c>
      <c r="B447" t="s">
        <v>1953</v>
      </c>
      <c r="C447" t="s">
        <v>1687</v>
      </c>
      <c r="D447" t="s">
        <v>1150</v>
      </c>
      <c r="E447" t="str">
        <f t="shared" si="6"/>
        <v>Joey Ortiz</v>
      </c>
    </row>
    <row r="448" spans="1:5" x14ac:dyDescent="0.2">
      <c r="A448">
        <v>608324</v>
      </c>
      <c r="B448" t="s">
        <v>1964</v>
      </c>
      <c r="C448" t="s">
        <v>1688</v>
      </c>
      <c r="D448" t="s">
        <v>1151</v>
      </c>
      <c r="E448" t="str">
        <f t="shared" si="6"/>
        <v>Alex Bregman</v>
      </c>
    </row>
    <row r="449" spans="1:5" x14ac:dyDescent="0.2">
      <c r="A449">
        <v>680869</v>
      </c>
      <c r="B449" t="s">
        <v>1906</v>
      </c>
      <c r="C449" t="s">
        <v>1689</v>
      </c>
      <c r="D449" t="s">
        <v>1152</v>
      </c>
      <c r="E449" t="str">
        <f t="shared" si="6"/>
        <v>Zack Gelof</v>
      </c>
    </row>
    <row r="450" spans="1:5" x14ac:dyDescent="0.2">
      <c r="A450">
        <v>699013</v>
      </c>
      <c r="B450" t="s">
        <v>2073</v>
      </c>
      <c r="C450" t="s">
        <v>1690</v>
      </c>
      <c r="D450" t="s">
        <v>1153</v>
      </c>
      <c r="E450" t="str">
        <f t="shared" si="6"/>
        <v>Esmerlyn Valdez</v>
      </c>
    </row>
    <row r="451" spans="1:5" x14ac:dyDescent="0.2">
      <c r="A451">
        <v>702284</v>
      </c>
      <c r="B451" t="s">
        <v>1669</v>
      </c>
      <c r="C451" t="s">
        <v>1311</v>
      </c>
      <c r="D451" t="s">
        <v>1154</v>
      </c>
      <c r="E451" t="str">
        <f t="shared" ref="E451:E514" si="7">B451&amp;" "&amp;C451</f>
        <v>Cole Young</v>
      </c>
    </row>
    <row r="452" spans="1:5" x14ac:dyDescent="0.2">
      <c r="A452">
        <v>699393</v>
      </c>
      <c r="B452" t="s">
        <v>2074</v>
      </c>
      <c r="C452" t="s">
        <v>1663</v>
      </c>
      <c r="D452" t="s">
        <v>1155</v>
      </c>
      <c r="E452" t="str">
        <f t="shared" si="7"/>
        <v>Pedro Ramírez</v>
      </c>
    </row>
    <row r="453" spans="1:5" x14ac:dyDescent="0.2">
      <c r="A453">
        <v>622268</v>
      </c>
      <c r="B453" t="s">
        <v>1309</v>
      </c>
      <c r="C453" t="s">
        <v>1691</v>
      </c>
      <c r="D453" t="s">
        <v>1156</v>
      </c>
      <c r="E453" t="str">
        <f t="shared" si="7"/>
        <v>Donovan Walton</v>
      </c>
    </row>
    <row r="454" spans="1:5" x14ac:dyDescent="0.2">
      <c r="A454">
        <v>605137</v>
      </c>
      <c r="B454" t="s">
        <v>2012</v>
      </c>
      <c r="C454" t="s">
        <v>1692</v>
      </c>
      <c r="D454" t="s">
        <v>1157</v>
      </c>
      <c r="E454" t="str">
        <f t="shared" si="7"/>
        <v>Josh Bell</v>
      </c>
    </row>
    <row r="455" spans="1:5" x14ac:dyDescent="0.2">
      <c r="A455">
        <v>682626</v>
      </c>
      <c r="B455" t="s">
        <v>1934</v>
      </c>
      <c r="C455" t="s">
        <v>1291</v>
      </c>
      <c r="D455" t="s">
        <v>1158</v>
      </c>
      <c r="E455" t="str">
        <f t="shared" si="7"/>
        <v>Francisco Alvarez</v>
      </c>
    </row>
    <row r="456" spans="1:5" x14ac:dyDescent="0.2">
      <c r="A456">
        <v>671056</v>
      </c>
      <c r="B456" t="s">
        <v>2075</v>
      </c>
      <c r="C456" t="s">
        <v>1693</v>
      </c>
      <c r="D456" t="s">
        <v>1159</v>
      </c>
      <c r="E456" t="str">
        <f t="shared" si="7"/>
        <v>Iván Herrera</v>
      </c>
    </row>
    <row r="457" spans="1:5" x14ac:dyDescent="0.2">
      <c r="A457">
        <v>701807</v>
      </c>
      <c r="B457" t="s">
        <v>1785</v>
      </c>
      <c r="C457" t="s">
        <v>1694</v>
      </c>
      <c r="D457" t="s">
        <v>1160</v>
      </c>
      <c r="E457" t="str">
        <f t="shared" si="7"/>
        <v>Carson Benge</v>
      </c>
    </row>
    <row r="458" spans="1:5" x14ac:dyDescent="0.2">
      <c r="A458">
        <v>596115</v>
      </c>
      <c r="B458" t="s">
        <v>1787</v>
      </c>
      <c r="C458" t="s">
        <v>1695</v>
      </c>
      <c r="D458" t="s">
        <v>1161</v>
      </c>
      <c r="E458" t="str">
        <f t="shared" si="7"/>
        <v>Trevor Story</v>
      </c>
    </row>
    <row r="459" spans="1:5" x14ac:dyDescent="0.2">
      <c r="A459">
        <v>679529</v>
      </c>
      <c r="B459" t="s">
        <v>1828</v>
      </c>
      <c r="C459" t="s">
        <v>1696</v>
      </c>
      <c r="D459" t="s">
        <v>1162</v>
      </c>
      <c r="E459" t="str">
        <f t="shared" si="7"/>
        <v>Spencer Torkelson</v>
      </c>
    </row>
    <row r="460" spans="1:5" x14ac:dyDescent="0.2">
      <c r="A460">
        <v>669392</v>
      </c>
      <c r="B460" t="s">
        <v>2076</v>
      </c>
      <c r="C460" t="s">
        <v>1697</v>
      </c>
      <c r="D460" t="s">
        <v>1163</v>
      </c>
      <c r="E460" t="str">
        <f t="shared" si="7"/>
        <v>Samad Taylor</v>
      </c>
    </row>
    <row r="461" spans="1:5" x14ac:dyDescent="0.2">
      <c r="A461">
        <v>677594</v>
      </c>
      <c r="B461" t="s">
        <v>2077</v>
      </c>
      <c r="C461" t="s">
        <v>1402</v>
      </c>
      <c r="D461" t="s">
        <v>1164</v>
      </c>
      <c r="E461" t="str">
        <f t="shared" si="7"/>
        <v>Julio Rodríguez</v>
      </c>
    </row>
    <row r="462" spans="1:5" x14ac:dyDescent="0.2">
      <c r="A462">
        <v>682987</v>
      </c>
      <c r="B462" t="s">
        <v>1828</v>
      </c>
      <c r="C462" t="s">
        <v>1444</v>
      </c>
      <c r="D462" t="s">
        <v>1165</v>
      </c>
      <c r="E462" t="str">
        <f t="shared" si="7"/>
        <v>Spencer Jones</v>
      </c>
    </row>
    <row r="463" spans="1:5" x14ac:dyDescent="0.2">
      <c r="A463">
        <v>673962</v>
      </c>
      <c r="B463" t="s">
        <v>2012</v>
      </c>
      <c r="C463" t="s">
        <v>1698</v>
      </c>
      <c r="D463" t="s">
        <v>1166</v>
      </c>
      <c r="E463" t="str">
        <f t="shared" si="7"/>
        <v>Josh Jung</v>
      </c>
    </row>
    <row r="464" spans="1:5" x14ac:dyDescent="0.2">
      <c r="A464">
        <v>694388</v>
      </c>
      <c r="B464" t="s">
        <v>1953</v>
      </c>
      <c r="C464" t="s">
        <v>1699</v>
      </c>
      <c r="D464" t="s">
        <v>1167</v>
      </c>
      <c r="E464" t="str">
        <f t="shared" si="7"/>
        <v>Joey Loperfido</v>
      </c>
    </row>
    <row r="465" spans="1:5" x14ac:dyDescent="0.2">
      <c r="A465">
        <v>682829</v>
      </c>
      <c r="B465" t="s">
        <v>2078</v>
      </c>
      <c r="C465" t="s">
        <v>1700</v>
      </c>
      <c r="D465" t="s">
        <v>1168</v>
      </c>
      <c r="E465" t="str">
        <f t="shared" si="7"/>
        <v>Elly De La Cruz</v>
      </c>
    </row>
    <row r="466" spans="1:5" x14ac:dyDescent="0.2">
      <c r="A466">
        <v>621438</v>
      </c>
      <c r="B466" t="s">
        <v>2079</v>
      </c>
      <c r="C466" t="s">
        <v>1697</v>
      </c>
      <c r="D466" t="s">
        <v>1169</v>
      </c>
      <c r="E466" t="str">
        <f t="shared" si="7"/>
        <v>Tyrone Taylor</v>
      </c>
    </row>
    <row r="467" spans="1:5" x14ac:dyDescent="0.2">
      <c r="A467">
        <v>677951</v>
      </c>
      <c r="B467" t="s">
        <v>2080</v>
      </c>
      <c r="C467" t="s">
        <v>1701</v>
      </c>
      <c r="D467" t="s">
        <v>1170</v>
      </c>
      <c r="E467" t="str">
        <f t="shared" si="7"/>
        <v>Bobby Witt Jr.</v>
      </c>
    </row>
    <row r="468" spans="1:5" x14ac:dyDescent="0.2">
      <c r="A468">
        <v>666152</v>
      </c>
      <c r="B468" t="s">
        <v>1987</v>
      </c>
      <c r="C468" t="s">
        <v>1702</v>
      </c>
      <c r="D468" t="s">
        <v>1171</v>
      </c>
      <c r="E468" t="str">
        <f t="shared" si="7"/>
        <v>David Hamilton</v>
      </c>
    </row>
    <row r="469" spans="1:5" x14ac:dyDescent="0.2">
      <c r="A469">
        <v>810938</v>
      </c>
      <c r="B469" t="s">
        <v>1918</v>
      </c>
      <c r="C469" t="s">
        <v>1703</v>
      </c>
      <c r="D469" t="s">
        <v>1172</v>
      </c>
      <c r="E469" t="str">
        <f t="shared" si="7"/>
        <v>Ben Williamson</v>
      </c>
    </row>
    <row r="470" spans="1:5" x14ac:dyDescent="0.2">
      <c r="A470">
        <v>687221</v>
      </c>
      <c r="B470" t="s">
        <v>2081</v>
      </c>
      <c r="C470" t="s">
        <v>1704</v>
      </c>
      <c r="D470" t="s">
        <v>1173</v>
      </c>
      <c r="E470" t="str">
        <f t="shared" si="7"/>
        <v>Dalton Rushing</v>
      </c>
    </row>
    <row r="471" spans="1:5" x14ac:dyDescent="0.2">
      <c r="A471">
        <v>677649</v>
      </c>
      <c r="B471" t="s">
        <v>1938</v>
      </c>
      <c r="C471" t="s">
        <v>1597</v>
      </c>
      <c r="D471" t="s">
        <v>1174</v>
      </c>
      <c r="E471" t="str">
        <f t="shared" si="7"/>
        <v>Ezequiel Duran</v>
      </c>
    </row>
    <row r="472" spans="1:5" x14ac:dyDescent="0.2">
      <c r="A472">
        <v>641555</v>
      </c>
      <c r="B472" t="s">
        <v>2082</v>
      </c>
      <c r="C472" t="s">
        <v>1705</v>
      </c>
      <c r="D472" t="s">
        <v>1175</v>
      </c>
      <c r="E472" t="str">
        <f t="shared" si="7"/>
        <v>J.C. Escarra</v>
      </c>
    </row>
    <row r="473" spans="1:5" x14ac:dyDescent="0.2">
      <c r="A473">
        <v>669699</v>
      </c>
      <c r="B473" t="s">
        <v>2083</v>
      </c>
      <c r="C473" t="s">
        <v>1706</v>
      </c>
      <c r="D473" t="s">
        <v>1176</v>
      </c>
      <c r="E473" t="str">
        <f t="shared" si="7"/>
        <v>Braden Shewmake</v>
      </c>
    </row>
    <row r="474" spans="1:5" x14ac:dyDescent="0.2">
      <c r="A474">
        <v>683737</v>
      </c>
      <c r="B474" t="s">
        <v>1901</v>
      </c>
      <c r="C474" t="s">
        <v>1707</v>
      </c>
      <c r="D474" t="s">
        <v>1177</v>
      </c>
      <c r="E474" t="str">
        <f t="shared" si="7"/>
        <v>Michael Busch</v>
      </c>
    </row>
    <row r="475" spans="1:5" x14ac:dyDescent="0.2">
      <c r="A475">
        <v>703607</v>
      </c>
      <c r="B475" t="s">
        <v>1858</v>
      </c>
      <c r="C475" t="s">
        <v>1708</v>
      </c>
      <c r="D475" t="s">
        <v>1178</v>
      </c>
      <c r="E475" t="str">
        <f t="shared" si="7"/>
        <v>Henry Bolte</v>
      </c>
    </row>
    <row r="476" spans="1:5" x14ac:dyDescent="0.2">
      <c r="A476">
        <v>688363</v>
      </c>
      <c r="B476" t="s">
        <v>2084</v>
      </c>
      <c r="C476" t="s">
        <v>1709</v>
      </c>
      <c r="D476" t="s">
        <v>1179</v>
      </c>
      <c r="E476" t="str">
        <f t="shared" si="7"/>
        <v>Graham Pauley</v>
      </c>
    </row>
    <row r="477" spans="1:5" x14ac:dyDescent="0.2">
      <c r="A477">
        <v>669720</v>
      </c>
      <c r="B477" t="s">
        <v>1843</v>
      </c>
      <c r="C477" t="s">
        <v>1710</v>
      </c>
      <c r="D477" t="s">
        <v>1180</v>
      </c>
      <c r="E477" t="str">
        <f t="shared" si="7"/>
        <v>Austin Hays</v>
      </c>
    </row>
    <row r="478" spans="1:5" x14ac:dyDescent="0.2">
      <c r="A478">
        <v>682729</v>
      </c>
      <c r="B478" t="s">
        <v>2085</v>
      </c>
      <c r="C478" t="s">
        <v>1711</v>
      </c>
      <c r="D478" t="s">
        <v>1181</v>
      </c>
      <c r="E478" t="str">
        <f t="shared" si="7"/>
        <v>Jonatan Clase</v>
      </c>
    </row>
    <row r="479" spans="1:5" x14ac:dyDescent="0.2">
      <c r="A479">
        <v>686681</v>
      </c>
      <c r="B479" t="s">
        <v>1901</v>
      </c>
      <c r="C479" t="s">
        <v>1712</v>
      </c>
      <c r="D479" t="s">
        <v>1182</v>
      </c>
      <c r="E479" t="str">
        <f t="shared" si="7"/>
        <v>Michael Massey</v>
      </c>
    </row>
    <row r="480" spans="1:5" x14ac:dyDescent="0.2">
      <c r="A480">
        <v>656582</v>
      </c>
      <c r="B480" t="s">
        <v>1804</v>
      </c>
      <c r="C480" t="s">
        <v>1713</v>
      </c>
      <c r="D480" t="s">
        <v>1183</v>
      </c>
      <c r="E480" t="str">
        <f t="shared" si="7"/>
        <v>Connor Joe</v>
      </c>
    </row>
    <row r="481" spans="1:5" x14ac:dyDescent="0.2">
      <c r="A481">
        <v>641933</v>
      </c>
      <c r="B481" t="s">
        <v>1839</v>
      </c>
      <c r="C481" t="s">
        <v>1714</v>
      </c>
      <c r="D481" t="s">
        <v>1184</v>
      </c>
      <c r="E481" t="str">
        <f t="shared" si="7"/>
        <v>Tyler O'Neill</v>
      </c>
    </row>
    <row r="482" spans="1:5" x14ac:dyDescent="0.2">
      <c r="A482">
        <v>691594</v>
      </c>
      <c r="B482" t="s">
        <v>1960</v>
      </c>
      <c r="C482" t="s">
        <v>1715</v>
      </c>
      <c r="D482" t="s">
        <v>1185</v>
      </c>
      <c r="E482" t="str">
        <f t="shared" si="7"/>
        <v>Javier Sanoja</v>
      </c>
    </row>
    <row r="483" spans="1:5" x14ac:dyDescent="0.2">
      <c r="A483">
        <v>663697</v>
      </c>
      <c r="B483" t="s">
        <v>2062</v>
      </c>
      <c r="C483" t="s">
        <v>1716</v>
      </c>
      <c r="D483" t="s">
        <v>1186</v>
      </c>
      <c r="E483" t="str">
        <f t="shared" si="7"/>
        <v>Jonathan India</v>
      </c>
    </row>
    <row r="484" spans="1:5" x14ac:dyDescent="0.2">
      <c r="A484">
        <v>621493</v>
      </c>
      <c r="B484" t="s">
        <v>1697</v>
      </c>
      <c r="C484" t="s">
        <v>1316</v>
      </c>
      <c r="D484" t="s">
        <v>1187</v>
      </c>
      <c r="E484" t="str">
        <f t="shared" si="7"/>
        <v>Taylor Ward</v>
      </c>
    </row>
    <row r="485" spans="1:5" x14ac:dyDescent="0.2">
      <c r="A485">
        <v>656305</v>
      </c>
      <c r="B485" t="s">
        <v>1832</v>
      </c>
      <c r="C485" t="s">
        <v>1717</v>
      </c>
      <c r="D485" t="s">
        <v>1188</v>
      </c>
      <c r="E485" t="str">
        <f t="shared" si="7"/>
        <v>Matt Chapman</v>
      </c>
    </row>
    <row r="486" spans="1:5" x14ac:dyDescent="0.2">
      <c r="A486">
        <v>805249</v>
      </c>
      <c r="B486" t="s">
        <v>1844</v>
      </c>
      <c r="C486" t="s">
        <v>1718</v>
      </c>
      <c r="D486" t="s">
        <v>1189</v>
      </c>
      <c r="E486" t="str">
        <f t="shared" si="7"/>
        <v>Otto Kemp</v>
      </c>
    </row>
    <row r="487" spans="1:5" x14ac:dyDescent="0.2">
      <c r="A487">
        <v>649966</v>
      </c>
      <c r="B487" t="s">
        <v>1796</v>
      </c>
      <c r="C487" t="s">
        <v>1534</v>
      </c>
      <c r="D487" t="s">
        <v>1190</v>
      </c>
      <c r="E487" t="str">
        <f t="shared" si="7"/>
        <v>Luis Urías</v>
      </c>
    </row>
    <row r="488" spans="1:5" x14ac:dyDescent="0.2">
      <c r="A488">
        <v>690976</v>
      </c>
      <c r="B488" t="s">
        <v>1964</v>
      </c>
      <c r="C488" t="s">
        <v>1719</v>
      </c>
      <c r="D488" t="s">
        <v>1191</v>
      </c>
      <c r="E488" t="str">
        <f t="shared" si="7"/>
        <v>Alex Freeland</v>
      </c>
    </row>
    <row r="489" spans="1:5" x14ac:dyDescent="0.2">
      <c r="A489">
        <v>669701</v>
      </c>
      <c r="B489" t="s">
        <v>2012</v>
      </c>
      <c r="C489" t="s">
        <v>1325</v>
      </c>
      <c r="D489" t="s">
        <v>1192</v>
      </c>
      <c r="E489" t="str">
        <f t="shared" si="7"/>
        <v>Josh Smith</v>
      </c>
    </row>
    <row r="490" spans="1:5" x14ac:dyDescent="0.2">
      <c r="A490">
        <v>807747</v>
      </c>
      <c r="B490" t="s">
        <v>2086</v>
      </c>
      <c r="C490" t="s">
        <v>1720</v>
      </c>
      <c r="D490" t="s">
        <v>1193</v>
      </c>
      <c r="E490" t="str">
        <f t="shared" si="7"/>
        <v>Rikuu Nishida</v>
      </c>
    </row>
    <row r="491" spans="1:5" x14ac:dyDescent="0.2">
      <c r="A491">
        <v>666969</v>
      </c>
      <c r="B491" t="s">
        <v>2087</v>
      </c>
      <c r="C491" t="s">
        <v>1721</v>
      </c>
      <c r="D491" t="s">
        <v>1194</v>
      </c>
      <c r="E491" t="str">
        <f t="shared" si="7"/>
        <v>Adolis García</v>
      </c>
    </row>
    <row r="492" spans="1:5" x14ac:dyDescent="0.2">
      <c r="A492">
        <v>596142</v>
      </c>
      <c r="B492" t="s">
        <v>2088</v>
      </c>
      <c r="C492" t="s">
        <v>1278</v>
      </c>
      <c r="D492" t="s">
        <v>1195</v>
      </c>
      <c r="E492" t="str">
        <f t="shared" si="7"/>
        <v>Gary Sánchez</v>
      </c>
    </row>
    <row r="493" spans="1:5" x14ac:dyDescent="0.2">
      <c r="A493">
        <v>815873</v>
      </c>
      <c r="B493" t="s">
        <v>1876</v>
      </c>
      <c r="C493" t="s">
        <v>1722</v>
      </c>
      <c r="D493" t="s">
        <v>1196</v>
      </c>
      <c r="E493" t="str">
        <f t="shared" si="7"/>
        <v>Sean Keys</v>
      </c>
    </row>
    <row r="494" spans="1:5" x14ac:dyDescent="0.2">
      <c r="A494">
        <v>663837</v>
      </c>
      <c r="B494" t="s">
        <v>1832</v>
      </c>
      <c r="C494" t="s">
        <v>1723</v>
      </c>
      <c r="D494" t="s">
        <v>1197</v>
      </c>
      <c r="E494" t="str">
        <f t="shared" si="7"/>
        <v>Matt Vierling</v>
      </c>
    </row>
    <row r="495" spans="1:5" x14ac:dyDescent="0.2">
      <c r="A495">
        <v>808982</v>
      </c>
      <c r="B495" t="s">
        <v>2089</v>
      </c>
      <c r="C495" t="s">
        <v>1526</v>
      </c>
      <c r="D495" t="s">
        <v>1198</v>
      </c>
      <c r="E495" t="str">
        <f t="shared" si="7"/>
        <v>Jung Hoo Lee</v>
      </c>
    </row>
    <row r="496" spans="1:5" x14ac:dyDescent="0.2">
      <c r="A496">
        <v>663330</v>
      </c>
      <c r="B496" t="s">
        <v>2090</v>
      </c>
      <c r="C496" t="s">
        <v>1444</v>
      </c>
      <c r="D496" t="s">
        <v>1199</v>
      </c>
      <c r="E496" t="str">
        <f t="shared" si="7"/>
        <v>Jahmai Jones</v>
      </c>
    </row>
    <row r="497" spans="1:5" x14ac:dyDescent="0.2">
      <c r="A497">
        <v>547180</v>
      </c>
      <c r="B497" t="s">
        <v>1806</v>
      </c>
      <c r="C497" t="s">
        <v>1724</v>
      </c>
      <c r="D497" t="s">
        <v>1200</v>
      </c>
      <c r="E497" t="str">
        <f t="shared" si="7"/>
        <v>Bryce Harper</v>
      </c>
    </row>
    <row r="498" spans="1:5" x14ac:dyDescent="0.2">
      <c r="A498">
        <v>571448</v>
      </c>
      <c r="B498" t="s">
        <v>1896</v>
      </c>
      <c r="C498" t="s">
        <v>1725</v>
      </c>
      <c r="D498" t="s">
        <v>1201</v>
      </c>
      <c r="E498" t="str">
        <f t="shared" si="7"/>
        <v>Nolan Arenado</v>
      </c>
    </row>
    <row r="499" spans="1:5" x14ac:dyDescent="0.2">
      <c r="A499">
        <v>691026</v>
      </c>
      <c r="B499" t="s">
        <v>2091</v>
      </c>
      <c r="C499" t="s">
        <v>1726</v>
      </c>
      <c r="D499" t="s">
        <v>1202</v>
      </c>
      <c r="E499" t="str">
        <f t="shared" si="7"/>
        <v>Masyn Winn</v>
      </c>
    </row>
    <row r="500" spans="1:5" x14ac:dyDescent="0.2">
      <c r="A500">
        <v>678882</v>
      </c>
      <c r="B500" t="s">
        <v>2092</v>
      </c>
      <c r="C500" t="s">
        <v>1727</v>
      </c>
      <c r="D500" t="s">
        <v>1203</v>
      </c>
      <c r="E500" t="str">
        <f t="shared" si="7"/>
        <v>Ceddanne Rafaela</v>
      </c>
    </row>
    <row r="501" spans="1:5" x14ac:dyDescent="0.2">
      <c r="A501">
        <v>608070</v>
      </c>
      <c r="B501" t="s">
        <v>1970</v>
      </c>
      <c r="C501" t="s">
        <v>1663</v>
      </c>
      <c r="D501" t="s">
        <v>1204</v>
      </c>
      <c r="E501" t="str">
        <f t="shared" si="7"/>
        <v>José Ramírez</v>
      </c>
    </row>
    <row r="502" spans="1:5" x14ac:dyDescent="0.2">
      <c r="A502">
        <v>687231</v>
      </c>
      <c r="B502" t="s">
        <v>2093</v>
      </c>
      <c r="C502" t="s">
        <v>1728</v>
      </c>
      <c r="D502" t="s">
        <v>1205</v>
      </c>
      <c r="E502" t="str">
        <f t="shared" si="7"/>
        <v>Darell Hernaiz</v>
      </c>
    </row>
    <row r="503" spans="1:5" x14ac:dyDescent="0.2">
      <c r="A503">
        <v>641680</v>
      </c>
      <c r="B503" t="s">
        <v>1939</v>
      </c>
      <c r="C503" t="s">
        <v>1729</v>
      </c>
      <c r="D503" t="s">
        <v>1206</v>
      </c>
      <c r="E503" t="str">
        <f t="shared" si="7"/>
        <v>Jonah Heim</v>
      </c>
    </row>
    <row r="504" spans="1:5" x14ac:dyDescent="0.2">
      <c r="A504">
        <v>677800</v>
      </c>
      <c r="B504" t="s">
        <v>2094</v>
      </c>
      <c r="C504" t="s">
        <v>1730</v>
      </c>
      <c r="D504" t="s">
        <v>1207</v>
      </c>
      <c r="E504" t="str">
        <f t="shared" si="7"/>
        <v>Wilyer Abreu</v>
      </c>
    </row>
    <row r="505" spans="1:5" x14ac:dyDescent="0.2">
      <c r="A505">
        <v>672820</v>
      </c>
      <c r="B505" t="s">
        <v>2095</v>
      </c>
      <c r="C505" t="s">
        <v>1523</v>
      </c>
      <c r="D505" t="s">
        <v>1208</v>
      </c>
      <c r="E505" t="str">
        <f t="shared" si="7"/>
        <v>Lenyn Sosa</v>
      </c>
    </row>
    <row r="506" spans="1:5" x14ac:dyDescent="0.2">
      <c r="A506">
        <v>694371</v>
      </c>
      <c r="B506" t="s">
        <v>1905</v>
      </c>
      <c r="C506" t="s">
        <v>1731</v>
      </c>
      <c r="D506" t="s">
        <v>1209</v>
      </c>
      <c r="E506" t="str">
        <f t="shared" si="7"/>
        <v>Tommy Troy</v>
      </c>
    </row>
    <row r="507" spans="1:5" x14ac:dyDescent="0.2">
      <c r="A507">
        <v>691723</v>
      </c>
      <c r="B507" t="s">
        <v>2096</v>
      </c>
      <c r="C507" t="s">
        <v>1732</v>
      </c>
      <c r="D507" t="s">
        <v>1210</v>
      </c>
      <c r="E507" t="str">
        <f t="shared" si="7"/>
        <v>Coby Mayo</v>
      </c>
    </row>
    <row r="508" spans="1:5" x14ac:dyDescent="0.2">
      <c r="A508">
        <v>668885</v>
      </c>
      <c r="B508" t="s">
        <v>1843</v>
      </c>
      <c r="C508" t="s">
        <v>1733</v>
      </c>
      <c r="D508" t="s">
        <v>1211</v>
      </c>
      <c r="E508" t="str">
        <f t="shared" si="7"/>
        <v>Austin Martin</v>
      </c>
    </row>
    <row r="509" spans="1:5" x14ac:dyDescent="0.2">
      <c r="A509">
        <v>661388</v>
      </c>
      <c r="B509" t="s">
        <v>2097</v>
      </c>
      <c r="C509" t="s">
        <v>1275</v>
      </c>
      <c r="D509" t="s">
        <v>1212</v>
      </c>
      <c r="E509" t="str">
        <f t="shared" si="7"/>
        <v>William Contreras</v>
      </c>
    </row>
    <row r="510" spans="1:5" x14ac:dyDescent="0.2">
      <c r="A510">
        <v>664983</v>
      </c>
      <c r="B510" t="s">
        <v>1808</v>
      </c>
      <c r="C510" t="s">
        <v>1734</v>
      </c>
      <c r="D510" t="s">
        <v>1213</v>
      </c>
      <c r="E510" t="str">
        <f t="shared" si="7"/>
        <v>Jake McCarthy</v>
      </c>
    </row>
    <row r="511" spans="1:5" x14ac:dyDescent="0.2">
      <c r="A511">
        <v>686780</v>
      </c>
      <c r="B511" t="s">
        <v>2074</v>
      </c>
      <c r="C511" t="s">
        <v>1735</v>
      </c>
      <c r="D511" t="s">
        <v>1214</v>
      </c>
      <c r="E511" t="str">
        <f t="shared" si="7"/>
        <v>Pedro Pagés</v>
      </c>
    </row>
    <row r="512" spans="1:5" x14ac:dyDescent="0.2">
      <c r="A512">
        <v>808975</v>
      </c>
      <c r="B512" t="s">
        <v>2098</v>
      </c>
      <c r="C512" t="s">
        <v>1299</v>
      </c>
      <c r="D512" t="s">
        <v>1215</v>
      </c>
      <c r="E512" t="str">
        <f t="shared" si="7"/>
        <v>Hyeseong Kim</v>
      </c>
    </row>
    <row r="513" spans="1:5" x14ac:dyDescent="0.2">
      <c r="A513">
        <v>467793</v>
      </c>
      <c r="B513" t="s">
        <v>1816</v>
      </c>
      <c r="C513" t="s">
        <v>1736</v>
      </c>
      <c r="D513" t="s">
        <v>1216</v>
      </c>
      <c r="E513" t="str">
        <f t="shared" si="7"/>
        <v>Carlos Santana</v>
      </c>
    </row>
    <row r="514" spans="1:5" x14ac:dyDescent="0.2">
      <c r="A514">
        <v>805779</v>
      </c>
      <c r="B514" t="s">
        <v>1821</v>
      </c>
      <c r="C514" t="s">
        <v>1442</v>
      </c>
      <c r="D514" t="s">
        <v>1217</v>
      </c>
      <c r="E514" t="str">
        <f t="shared" si="7"/>
        <v>Jacob Wilson</v>
      </c>
    </row>
    <row r="515" spans="1:5" x14ac:dyDescent="0.2">
      <c r="A515">
        <v>691785</v>
      </c>
      <c r="B515" t="s">
        <v>2099</v>
      </c>
      <c r="C515" t="s">
        <v>1737</v>
      </c>
      <c r="D515" t="s">
        <v>1218</v>
      </c>
      <c r="E515" t="str">
        <f t="shared" ref="E515:E566" si="8">B515&amp;" "&amp;C515</f>
        <v>Marcelo Mayer</v>
      </c>
    </row>
    <row r="516" spans="1:5" x14ac:dyDescent="0.2">
      <c r="A516">
        <v>702616</v>
      </c>
      <c r="B516" t="s">
        <v>1277</v>
      </c>
      <c r="C516" t="s">
        <v>1738</v>
      </c>
      <c r="D516" t="s">
        <v>1219</v>
      </c>
      <c r="E516" t="str">
        <f t="shared" si="8"/>
        <v>Jackson Holliday</v>
      </c>
    </row>
    <row r="517" spans="1:5" x14ac:dyDescent="0.2">
      <c r="A517">
        <v>682848</v>
      </c>
      <c r="B517" t="s">
        <v>2100</v>
      </c>
      <c r="C517" t="s">
        <v>1402</v>
      </c>
      <c r="D517" t="s">
        <v>1220</v>
      </c>
      <c r="E517" t="str">
        <f t="shared" si="8"/>
        <v>Endy Rodríguez</v>
      </c>
    </row>
    <row r="518" spans="1:5" x14ac:dyDescent="0.2">
      <c r="A518">
        <v>683766</v>
      </c>
      <c r="B518" t="s">
        <v>1922</v>
      </c>
      <c r="C518" t="s">
        <v>1739</v>
      </c>
      <c r="D518" t="s">
        <v>1221</v>
      </c>
      <c r="E518" t="str">
        <f t="shared" si="8"/>
        <v>Christian Koss</v>
      </c>
    </row>
    <row r="519" spans="1:5" x14ac:dyDescent="0.2">
      <c r="A519">
        <v>686554</v>
      </c>
      <c r="B519" t="s">
        <v>2101</v>
      </c>
      <c r="C519" t="s">
        <v>1350</v>
      </c>
      <c r="D519" t="s">
        <v>1222</v>
      </c>
      <c r="E519" t="str">
        <f t="shared" si="8"/>
        <v>Oliver Dunn</v>
      </c>
    </row>
    <row r="520" spans="1:5" x14ac:dyDescent="0.2">
      <c r="A520">
        <v>672016</v>
      </c>
      <c r="B520" t="s">
        <v>2102</v>
      </c>
      <c r="C520" t="s">
        <v>1740</v>
      </c>
      <c r="D520" t="s">
        <v>1223</v>
      </c>
      <c r="E520" t="str">
        <f t="shared" si="8"/>
        <v>Denzel Clarke</v>
      </c>
    </row>
    <row r="521" spans="1:5" x14ac:dyDescent="0.2">
      <c r="A521">
        <v>686611</v>
      </c>
      <c r="B521" t="s">
        <v>1972</v>
      </c>
      <c r="C521" t="s">
        <v>1741</v>
      </c>
      <c r="D521" t="s">
        <v>1224</v>
      </c>
      <c r="E521" t="str">
        <f t="shared" si="8"/>
        <v>Dylan Crews</v>
      </c>
    </row>
    <row r="522" spans="1:5" x14ac:dyDescent="0.2">
      <c r="A522">
        <v>677588</v>
      </c>
      <c r="B522" t="s">
        <v>1970</v>
      </c>
      <c r="C522" t="s">
        <v>1742</v>
      </c>
      <c r="D522" t="s">
        <v>1225</v>
      </c>
      <c r="E522" t="str">
        <f t="shared" si="8"/>
        <v>José Tena</v>
      </c>
    </row>
    <row r="523" spans="1:5" x14ac:dyDescent="0.2">
      <c r="A523">
        <v>672761</v>
      </c>
      <c r="B523" t="s">
        <v>2103</v>
      </c>
      <c r="C523" t="s">
        <v>1743</v>
      </c>
      <c r="D523" t="s">
        <v>1226</v>
      </c>
      <c r="E523" t="str">
        <f t="shared" si="8"/>
        <v>Wenceel Pérez</v>
      </c>
    </row>
    <row r="524" spans="1:5" x14ac:dyDescent="0.2">
      <c r="A524">
        <v>668723</v>
      </c>
      <c r="B524" t="s">
        <v>1826</v>
      </c>
      <c r="C524" t="s">
        <v>1744</v>
      </c>
      <c r="D524" t="s">
        <v>1227</v>
      </c>
      <c r="E524" t="str">
        <f t="shared" si="8"/>
        <v>Ryan Vilade</v>
      </c>
    </row>
    <row r="525" spans="1:5" x14ac:dyDescent="0.2">
      <c r="A525">
        <v>683011</v>
      </c>
      <c r="B525" t="s">
        <v>1472</v>
      </c>
      <c r="C525" t="s">
        <v>1745</v>
      </c>
      <c r="D525" t="s">
        <v>1228</v>
      </c>
      <c r="E525" t="str">
        <f t="shared" si="8"/>
        <v>Anthony Volpe</v>
      </c>
    </row>
    <row r="526" spans="1:5" x14ac:dyDescent="0.2">
      <c r="A526">
        <v>701762</v>
      </c>
      <c r="B526" t="s">
        <v>1919</v>
      </c>
      <c r="C526" t="s">
        <v>1746</v>
      </c>
      <c r="D526" t="s">
        <v>1229</v>
      </c>
      <c r="E526" t="str">
        <f t="shared" si="8"/>
        <v>Nick Kurtz</v>
      </c>
    </row>
    <row r="527" spans="1:5" x14ac:dyDescent="0.2">
      <c r="A527">
        <v>681508</v>
      </c>
      <c r="B527" t="s">
        <v>2104</v>
      </c>
      <c r="C527" t="s">
        <v>1747</v>
      </c>
      <c r="D527" t="s">
        <v>1230</v>
      </c>
      <c r="E527" t="str">
        <f t="shared" si="8"/>
        <v>Mickey Gasper</v>
      </c>
    </row>
    <row r="528" spans="1:5" x14ac:dyDescent="0.2">
      <c r="A528">
        <v>676914</v>
      </c>
      <c r="B528" t="s">
        <v>1351</v>
      </c>
      <c r="C528" t="s">
        <v>1748</v>
      </c>
      <c r="D528" t="s">
        <v>1231</v>
      </c>
      <c r="E528" t="str">
        <f t="shared" si="8"/>
        <v>Davis Schneider</v>
      </c>
    </row>
    <row r="529" spans="1:5" x14ac:dyDescent="0.2">
      <c r="A529">
        <v>803011</v>
      </c>
      <c r="B529" t="s">
        <v>1943</v>
      </c>
      <c r="C529" t="s">
        <v>1749</v>
      </c>
      <c r="D529" t="s">
        <v>1232</v>
      </c>
      <c r="E529" t="str">
        <f t="shared" si="8"/>
        <v>Sam Antonacci</v>
      </c>
    </row>
    <row r="530" spans="1:5" x14ac:dyDescent="0.2">
      <c r="A530">
        <v>682622</v>
      </c>
      <c r="B530" t="s">
        <v>2105</v>
      </c>
      <c r="C530" t="s">
        <v>1383</v>
      </c>
      <c r="D530" t="s">
        <v>1233</v>
      </c>
      <c r="E530" t="str">
        <f t="shared" si="8"/>
        <v>Noelvi Marte</v>
      </c>
    </row>
    <row r="531" spans="1:5" x14ac:dyDescent="0.2">
      <c r="A531">
        <v>695734</v>
      </c>
      <c r="B531" t="s">
        <v>2106</v>
      </c>
      <c r="C531" t="s">
        <v>1750</v>
      </c>
      <c r="D531" t="s">
        <v>1234</v>
      </c>
      <c r="E531" t="str">
        <f t="shared" si="8"/>
        <v>Daylen Lile</v>
      </c>
    </row>
    <row r="532" spans="1:5" x14ac:dyDescent="0.2">
      <c r="A532">
        <v>669257</v>
      </c>
      <c r="B532" t="s">
        <v>1822</v>
      </c>
      <c r="C532" t="s">
        <v>1325</v>
      </c>
      <c r="D532" t="s">
        <v>1235</v>
      </c>
      <c r="E532" t="str">
        <f t="shared" si="8"/>
        <v>Will Smith</v>
      </c>
    </row>
    <row r="533" spans="1:5" x14ac:dyDescent="0.2">
      <c r="A533">
        <v>624413</v>
      </c>
      <c r="B533" t="s">
        <v>1974</v>
      </c>
      <c r="C533" t="s">
        <v>1751</v>
      </c>
      <c r="D533" t="s">
        <v>1236</v>
      </c>
      <c r="E533" t="str">
        <f t="shared" si="8"/>
        <v>Pete Alonso</v>
      </c>
    </row>
    <row r="534" spans="1:5" x14ac:dyDescent="0.2">
      <c r="A534">
        <v>682177</v>
      </c>
      <c r="B534" t="s">
        <v>1883</v>
      </c>
      <c r="C534" t="s">
        <v>1752</v>
      </c>
      <c r="D534" t="s">
        <v>1237</v>
      </c>
      <c r="E534" t="str">
        <f t="shared" si="8"/>
        <v>Daniel Schneemann</v>
      </c>
    </row>
    <row r="535" spans="1:5" x14ac:dyDescent="0.2">
      <c r="A535">
        <v>660162</v>
      </c>
      <c r="B535" t="s">
        <v>2107</v>
      </c>
      <c r="C535" t="s">
        <v>1753</v>
      </c>
      <c r="D535" t="s">
        <v>1238</v>
      </c>
      <c r="E535" t="str">
        <f t="shared" si="8"/>
        <v>Yoán Moncada</v>
      </c>
    </row>
    <row r="536" spans="1:5" x14ac:dyDescent="0.2">
      <c r="A536">
        <v>681481</v>
      </c>
      <c r="B536" t="s">
        <v>2108</v>
      </c>
      <c r="C536" t="s">
        <v>1754</v>
      </c>
      <c r="D536" t="s">
        <v>1239</v>
      </c>
      <c r="E536" t="str">
        <f t="shared" si="8"/>
        <v>Kerry Carpenter</v>
      </c>
    </row>
    <row r="537" spans="1:5" x14ac:dyDescent="0.2">
      <c r="A537">
        <v>676724</v>
      </c>
      <c r="B537" t="s">
        <v>2064</v>
      </c>
      <c r="C537" t="s">
        <v>1311</v>
      </c>
      <c r="D537" t="s">
        <v>1240</v>
      </c>
      <c r="E537" t="str">
        <f t="shared" si="8"/>
        <v>Jared Young</v>
      </c>
    </row>
    <row r="538" spans="1:5" x14ac:dyDescent="0.2">
      <c r="A538">
        <v>666464</v>
      </c>
      <c r="B538" t="s">
        <v>2109</v>
      </c>
      <c r="C538" t="s">
        <v>1755</v>
      </c>
      <c r="D538" t="s">
        <v>1241</v>
      </c>
      <c r="E538" t="str">
        <f t="shared" si="8"/>
        <v>Jerar Encarnacion</v>
      </c>
    </row>
    <row r="539" spans="1:5" x14ac:dyDescent="0.2">
      <c r="A539">
        <v>671083</v>
      </c>
      <c r="B539" t="s">
        <v>2110</v>
      </c>
      <c r="C539" t="s">
        <v>1756</v>
      </c>
      <c r="D539" t="s">
        <v>1242</v>
      </c>
      <c r="E539" t="str">
        <f t="shared" si="8"/>
        <v>Buddy Kennedy</v>
      </c>
    </row>
    <row r="540" spans="1:5" x14ac:dyDescent="0.2">
      <c r="A540">
        <v>696030</v>
      </c>
      <c r="B540" t="s">
        <v>2045</v>
      </c>
      <c r="C540" t="s">
        <v>1757</v>
      </c>
      <c r="D540" t="s">
        <v>1243</v>
      </c>
      <c r="E540" t="str">
        <f t="shared" si="8"/>
        <v>Alejandro Osuna</v>
      </c>
    </row>
    <row r="541" spans="1:5" x14ac:dyDescent="0.2">
      <c r="A541">
        <v>702332</v>
      </c>
      <c r="B541" t="s">
        <v>2111</v>
      </c>
      <c r="C541" t="s">
        <v>1758</v>
      </c>
      <c r="D541" t="s">
        <v>1244</v>
      </c>
      <c r="E541" t="str">
        <f t="shared" si="8"/>
        <v>Caleb Durbin</v>
      </c>
    </row>
    <row r="542" spans="1:5" x14ac:dyDescent="0.2">
      <c r="A542">
        <v>641343</v>
      </c>
      <c r="B542" t="s">
        <v>1808</v>
      </c>
      <c r="C542" t="s">
        <v>1759</v>
      </c>
      <c r="D542" t="s">
        <v>1245</v>
      </c>
      <c r="E542" t="str">
        <f t="shared" si="8"/>
        <v>Jake Bauers</v>
      </c>
    </row>
    <row r="543" spans="1:5" x14ac:dyDescent="0.2">
      <c r="A543">
        <v>665833</v>
      </c>
      <c r="B543" t="s">
        <v>2112</v>
      </c>
      <c r="C543" t="s">
        <v>1760</v>
      </c>
      <c r="D543" t="s">
        <v>1246</v>
      </c>
      <c r="E543" t="str">
        <f t="shared" si="8"/>
        <v>Oneil Cruz</v>
      </c>
    </row>
    <row r="544" spans="1:5" x14ac:dyDescent="0.2">
      <c r="A544">
        <v>656555</v>
      </c>
      <c r="B544" t="s">
        <v>2113</v>
      </c>
      <c r="C544" t="s">
        <v>1761</v>
      </c>
      <c r="D544" t="s">
        <v>1247</v>
      </c>
      <c r="E544" t="str">
        <f t="shared" si="8"/>
        <v>Rhys Hoskins</v>
      </c>
    </row>
    <row r="545" spans="1:5" x14ac:dyDescent="0.2">
      <c r="A545">
        <v>678011</v>
      </c>
      <c r="B545" t="s">
        <v>1472</v>
      </c>
      <c r="C545" t="s">
        <v>1762</v>
      </c>
      <c r="D545" t="s">
        <v>1248</v>
      </c>
      <c r="E545" t="str">
        <f t="shared" si="8"/>
        <v>Anthony Seigler</v>
      </c>
    </row>
    <row r="546" spans="1:5" x14ac:dyDescent="0.2">
      <c r="A546">
        <v>807799</v>
      </c>
      <c r="B546" t="s">
        <v>2114</v>
      </c>
      <c r="C546" t="s">
        <v>1763</v>
      </c>
      <c r="D546" t="s">
        <v>1249</v>
      </c>
      <c r="E546" t="str">
        <f t="shared" si="8"/>
        <v>Masataka Yoshida</v>
      </c>
    </row>
    <row r="547" spans="1:5" x14ac:dyDescent="0.2">
      <c r="A547">
        <v>676391</v>
      </c>
      <c r="B547" t="s">
        <v>2115</v>
      </c>
      <c r="C547" t="s">
        <v>1764</v>
      </c>
      <c r="D547" t="s">
        <v>1250</v>
      </c>
      <c r="E547" t="str">
        <f t="shared" si="8"/>
        <v>Ernie Clement</v>
      </c>
    </row>
    <row r="548" spans="1:5" x14ac:dyDescent="0.2">
      <c r="A548">
        <v>665953</v>
      </c>
      <c r="B548" t="s">
        <v>1971</v>
      </c>
      <c r="C548" t="s">
        <v>1765</v>
      </c>
      <c r="D548" t="s">
        <v>1251</v>
      </c>
      <c r="E548" t="str">
        <f t="shared" si="8"/>
        <v>Andrés Chaparro</v>
      </c>
    </row>
    <row r="549" spans="1:5" x14ac:dyDescent="0.2">
      <c r="A549">
        <v>608841</v>
      </c>
      <c r="B549" t="s">
        <v>1953</v>
      </c>
      <c r="C549" t="s">
        <v>1766</v>
      </c>
      <c r="D549" t="s">
        <v>1252</v>
      </c>
      <c r="E549" t="str">
        <f t="shared" si="8"/>
        <v>Joey Meneses</v>
      </c>
    </row>
    <row r="550" spans="1:5" x14ac:dyDescent="0.2">
      <c r="A550">
        <v>642201</v>
      </c>
      <c r="B550" t="s">
        <v>2116</v>
      </c>
      <c r="C550" t="s">
        <v>1767</v>
      </c>
      <c r="D550" t="s">
        <v>1253</v>
      </c>
      <c r="E550" t="str">
        <f t="shared" si="8"/>
        <v>Eli White</v>
      </c>
    </row>
    <row r="551" spans="1:5" x14ac:dyDescent="0.2">
      <c r="A551">
        <v>695657</v>
      </c>
      <c r="B551" t="s">
        <v>2117</v>
      </c>
      <c r="C551" t="s">
        <v>1768</v>
      </c>
      <c r="D551" t="s">
        <v>1254</v>
      </c>
      <c r="E551" t="str">
        <f t="shared" si="8"/>
        <v>Colson Montgomery</v>
      </c>
    </row>
    <row r="552" spans="1:5" x14ac:dyDescent="0.2">
      <c r="A552">
        <v>678009</v>
      </c>
      <c r="B552" t="s">
        <v>2118</v>
      </c>
      <c r="C552" t="s">
        <v>1769</v>
      </c>
      <c r="D552" t="s">
        <v>1255</v>
      </c>
      <c r="E552" t="str">
        <f t="shared" si="8"/>
        <v>Parker Meadows</v>
      </c>
    </row>
    <row r="553" spans="1:5" x14ac:dyDescent="0.2">
      <c r="A553">
        <v>691788</v>
      </c>
      <c r="B553" t="s">
        <v>1713</v>
      </c>
      <c r="C553" t="s">
        <v>1770</v>
      </c>
      <c r="D553" t="s">
        <v>1256</v>
      </c>
      <c r="E553" t="str">
        <f t="shared" si="8"/>
        <v>Joe Mack</v>
      </c>
    </row>
    <row r="554" spans="1:5" x14ac:dyDescent="0.2">
      <c r="A554">
        <v>681715</v>
      </c>
      <c r="B554" t="s">
        <v>2119</v>
      </c>
      <c r="C554" t="s">
        <v>1590</v>
      </c>
      <c r="D554" t="s">
        <v>1257</v>
      </c>
      <c r="E554" t="str">
        <f t="shared" si="8"/>
        <v>Heriberto Hernández</v>
      </c>
    </row>
    <row r="555" spans="1:5" x14ac:dyDescent="0.2">
      <c r="A555">
        <v>643446</v>
      </c>
      <c r="B555" t="s">
        <v>2120</v>
      </c>
      <c r="C555" t="s">
        <v>1771</v>
      </c>
      <c r="D555" t="s">
        <v>1258</v>
      </c>
      <c r="E555" t="str">
        <f t="shared" si="8"/>
        <v>Jeff McNeil</v>
      </c>
    </row>
    <row r="556" spans="1:5" x14ac:dyDescent="0.2">
      <c r="A556">
        <v>695731</v>
      </c>
      <c r="B556" t="s">
        <v>2083</v>
      </c>
      <c r="C556" t="s">
        <v>1768</v>
      </c>
      <c r="D556" t="s">
        <v>1259</v>
      </c>
      <c r="E556" t="str">
        <f t="shared" si="8"/>
        <v>Braden Montgomery</v>
      </c>
    </row>
    <row r="557" spans="1:5" x14ac:dyDescent="0.2">
      <c r="A557">
        <v>672695</v>
      </c>
      <c r="B557" t="s">
        <v>2121</v>
      </c>
      <c r="C557" t="s">
        <v>1772</v>
      </c>
      <c r="D557" t="s">
        <v>1260</v>
      </c>
      <c r="E557" t="str">
        <f t="shared" si="8"/>
        <v>Geraldo Perdomo</v>
      </c>
    </row>
    <row r="558" spans="1:5" x14ac:dyDescent="0.2">
      <c r="A558">
        <v>621550</v>
      </c>
      <c r="B558" t="s">
        <v>1807</v>
      </c>
      <c r="C558" t="s">
        <v>1773</v>
      </c>
      <c r="D558" t="s">
        <v>1261</v>
      </c>
      <c r="E558" t="str">
        <f t="shared" si="8"/>
        <v>Patrick Wisdom</v>
      </c>
    </row>
    <row r="559" spans="1:5" x14ac:dyDescent="0.2">
      <c r="A559">
        <v>666160</v>
      </c>
      <c r="B559" t="s">
        <v>2104</v>
      </c>
      <c r="C559" t="s">
        <v>1774</v>
      </c>
      <c r="D559" t="s">
        <v>1262</v>
      </c>
      <c r="E559" t="str">
        <f t="shared" si="8"/>
        <v>Mickey Moniak</v>
      </c>
    </row>
    <row r="560" spans="1:5" x14ac:dyDescent="0.2">
      <c r="A560">
        <v>669394</v>
      </c>
      <c r="B560" t="s">
        <v>1808</v>
      </c>
      <c r="C560" t="s">
        <v>1775</v>
      </c>
      <c r="D560" t="s">
        <v>1263</v>
      </c>
      <c r="E560" t="str">
        <f t="shared" si="8"/>
        <v>Jake Burger</v>
      </c>
    </row>
    <row r="561" spans="1:5" x14ac:dyDescent="0.2">
      <c r="A561">
        <v>691011</v>
      </c>
      <c r="B561" t="s">
        <v>1992</v>
      </c>
      <c r="C561" t="s">
        <v>1776</v>
      </c>
      <c r="D561" t="s">
        <v>1264</v>
      </c>
      <c r="E561" t="str">
        <f t="shared" si="8"/>
        <v>Drew Romo</v>
      </c>
    </row>
    <row r="562" spans="1:5" x14ac:dyDescent="0.2">
      <c r="A562">
        <v>673357</v>
      </c>
      <c r="B562" t="s">
        <v>1796</v>
      </c>
      <c r="C562" t="s">
        <v>1777</v>
      </c>
      <c r="D562" t="s">
        <v>1265</v>
      </c>
      <c r="E562" t="str">
        <f t="shared" si="8"/>
        <v>Luis Robert Jr.</v>
      </c>
    </row>
    <row r="563" spans="1:5" x14ac:dyDescent="0.2">
      <c r="A563">
        <v>694376</v>
      </c>
      <c r="B563" t="s">
        <v>2122</v>
      </c>
      <c r="C563" t="s">
        <v>1778</v>
      </c>
      <c r="D563" t="s">
        <v>1266</v>
      </c>
      <c r="E563" t="str">
        <f t="shared" si="8"/>
        <v>Shay Whitcomb</v>
      </c>
    </row>
    <row r="564" spans="1:5" x14ac:dyDescent="0.2">
      <c r="A564">
        <v>663728</v>
      </c>
      <c r="B564" t="s">
        <v>2123</v>
      </c>
      <c r="C564" t="s">
        <v>1779</v>
      </c>
      <c r="D564" t="s">
        <v>1267</v>
      </c>
      <c r="E564" t="str">
        <f t="shared" si="8"/>
        <v>Cal Raleigh</v>
      </c>
    </row>
    <row r="565" spans="1:5" x14ac:dyDescent="0.2">
      <c r="A565">
        <v>669256</v>
      </c>
      <c r="B565" t="s">
        <v>1919</v>
      </c>
      <c r="C565" t="s">
        <v>1780</v>
      </c>
      <c r="D565" t="s">
        <v>1268</v>
      </c>
      <c r="E565" t="str">
        <f t="shared" si="8"/>
        <v>Nick Solak</v>
      </c>
    </row>
    <row r="566" spans="1:5" x14ac:dyDescent="0.2">
      <c r="A566">
        <v>668952</v>
      </c>
      <c r="B566" t="s">
        <v>1826</v>
      </c>
      <c r="C566" t="s">
        <v>1781</v>
      </c>
      <c r="D566" t="s">
        <v>1269</v>
      </c>
      <c r="E566" t="str">
        <f t="shared" si="8"/>
        <v>Ryan Kreidler</v>
      </c>
    </row>
    <row r="567" spans="1:5" x14ac:dyDescent="0.2">
      <c r="A567">
        <v>571771</v>
      </c>
      <c r="B567" t="s">
        <v>2127</v>
      </c>
      <c r="C567" t="s">
        <v>1590</v>
      </c>
      <c r="D567" t="s">
        <v>2128</v>
      </c>
      <c r="E567" t="s">
        <v>2126</v>
      </c>
    </row>
    <row r="568" spans="1:5" x14ac:dyDescent="0.2">
      <c r="A568">
        <v>571912</v>
      </c>
      <c r="B568" t="s">
        <v>1812</v>
      </c>
      <c r="C568" t="s">
        <v>2129</v>
      </c>
      <c r="D568" t="s">
        <v>2130</v>
      </c>
      <c r="E568" t="s">
        <v>259</v>
      </c>
    </row>
    <row r="569" spans="1:5" x14ac:dyDescent="0.2">
      <c r="A569">
        <v>669717</v>
      </c>
      <c r="B569" t="s">
        <v>1822</v>
      </c>
      <c r="C569" t="s">
        <v>1442</v>
      </c>
      <c r="D569" t="s">
        <v>2131</v>
      </c>
      <c r="E569" t="s">
        <v>260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2AE74-4428-C240-8293-FD691053B776}">
  <dimension ref="A1:N566"/>
  <sheetViews>
    <sheetView tabSelected="1" workbookViewId="0">
      <selection sqref="A1:N566"/>
    </sheetView>
  </sheetViews>
  <sheetFormatPr baseColWidth="10" defaultRowHeight="16" x14ac:dyDescent="0.2"/>
  <sheetData>
    <row r="1" spans="1:14" x14ac:dyDescent="0.2">
      <c r="A1" t="s">
        <v>692</v>
      </c>
      <c r="B1" t="s">
        <v>693</v>
      </c>
      <c r="C1" t="s">
        <v>694</v>
      </c>
      <c r="D1" t="s">
        <v>695</v>
      </c>
      <c r="E1" t="s">
        <v>696</v>
      </c>
      <c r="F1" t="s">
        <v>697</v>
      </c>
      <c r="G1" t="s">
        <v>698</v>
      </c>
      <c r="H1" t="s">
        <v>699</v>
      </c>
      <c r="I1" t="s">
        <v>700</v>
      </c>
      <c r="J1" t="s">
        <v>701</v>
      </c>
      <c r="K1" t="s">
        <v>702</v>
      </c>
      <c r="L1" t="s">
        <v>703</v>
      </c>
      <c r="M1" t="s">
        <v>704</v>
      </c>
      <c r="N1" t="s">
        <v>705</v>
      </c>
    </row>
    <row r="2" spans="1:14" x14ac:dyDescent="0.2">
      <c r="A2" t="s">
        <v>706</v>
      </c>
      <c r="B2">
        <v>680664</v>
      </c>
      <c r="C2">
        <v>2026</v>
      </c>
      <c r="D2">
        <v>2</v>
      </c>
      <c r="E2">
        <v>27.3</v>
      </c>
      <c r="F2">
        <v>0</v>
      </c>
      <c r="G2">
        <v>72.7</v>
      </c>
      <c r="H2">
        <v>92.7</v>
      </c>
      <c r="I2">
        <v>13</v>
      </c>
      <c r="J2">
        <v>71.400000000000006</v>
      </c>
      <c r="K2">
        <v>28.6</v>
      </c>
      <c r="L2">
        <v>102.41800499999999</v>
      </c>
      <c r="M2">
        <v>33.299999999999997</v>
      </c>
      <c r="N2">
        <v>54.5</v>
      </c>
    </row>
    <row r="3" spans="1:14" x14ac:dyDescent="0.2">
      <c r="A3" t="s">
        <v>707</v>
      </c>
      <c r="B3">
        <v>804606</v>
      </c>
      <c r="C3">
        <v>2026</v>
      </c>
      <c r="D3">
        <v>5</v>
      </c>
      <c r="E3">
        <v>26.3</v>
      </c>
      <c r="F3">
        <v>6.5</v>
      </c>
      <c r="G3">
        <v>75.599999999999994</v>
      </c>
      <c r="H3">
        <v>87.8</v>
      </c>
      <c r="I3">
        <v>5.9</v>
      </c>
      <c r="J3">
        <v>31.5</v>
      </c>
      <c r="K3">
        <v>8.1</v>
      </c>
      <c r="L3">
        <v>100.43462649999999</v>
      </c>
      <c r="M3">
        <v>31.7</v>
      </c>
      <c r="N3">
        <v>51.8</v>
      </c>
    </row>
    <row r="4" spans="1:14" x14ac:dyDescent="0.2">
      <c r="A4" t="s">
        <v>708</v>
      </c>
      <c r="B4">
        <v>700246</v>
      </c>
      <c r="C4">
        <v>2026</v>
      </c>
      <c r="D4">
        <v>0</v>
      </c>
      <c r="E4">
        <v>33.299999999999997</v>
      </c>
      <c r="F4">
        <v>6.1</v>
      </c>
      <c r="G4">
        <v>74.8</v>
      </c>
      <c r="H4">
        <v>85</v>
      </c>
      <c r="I4">
        <v>21.1</v>
      </c>
      <c r="J4">
        <v>25</v>
      </c>
      <c r="K4">
        <v>0</v>
      </c>
      <c r="L4">
        <v>96.449464000000006</v>
      </c>
      <c r="M4">
        <v>28.1</v>
      </c>
      <c r="N4">
        <v>54.2</v>
      </c>
    </row>
    <row r="5" spans="1:14" x14ac:dyDescent="0.2">
      <c r="A5" t="s">
        <v>709</v>
      </c>
      <c r="B5">
        <v>575929</v>
      </c>
      <c r="C5">
        <v>2026</v>
      </c>
      <c r="D5">
        <v>20</v>
      </c>
      <c r="E5">
        <v>24.7</v>
      </c>
      <c r="F5">
        <v>9.6</v>
      </c>
      <c r="G5">
        <v>77</v>
      </c>
      <c r="H5">
        <v>90.6</v>
      </c>
      <c r="I5">
        <v>17.399999999999999</v>
      </c>
      <c r="J5">
        <v>32</v>
      </c>
      <c r="K5">
        <v>14.3</v>
      </c>
      <c r="L5">
        <v>103.12143839300001</v>
      </c>
      <c r="M5">
        <v>30</v>
      </c>
      <c r="N5">
        <v>48.9</v>
      </c>
    </row>
    <row r="6" spans="1:14" x14ac:dyDescent="0.2">
      <c r="A6" t="s">
        <v>710</v>
      </c>
      <c r="B6">
        <v>663616</v>
      </c>
      <c r="C6">
        <v>2026</v>
      </c>
      <c r="D6">
        <v>7</v>
      </c>
      <c r="E6">
        <v>17.2</v>
      </c>
      <c r="F6">
        <v>11.7</v>
      </c>
      <c r="G6">
        <v>72</v>
      </c>
      <c r="H6">
        <v>87.4</v>
      </c>
      <c r="I6">
        <v>14.6</v>
      </c>
      <c r="J6">
        <v>39.200000000000003</v>
      </c>
      <c r="K6">
        <v>7.4</v>
      </c>
      <c r="L6">
        <v>98.661319509999998</v>
      </c>
      <c r="M6">
        <v>25.8</v>
      </c>
      <c r="N6">
        <v>42.6</v>
      </c>
    </row>
    <row r="7" spans="1:14" x14ac:dyDescent="0.2">
      <c r="A7" t="s">
        <v>711</v>
      </c>
      <c r="B7">
        <v>669236</v>
      </c>
      <c r="C7">
        <v>2026</v>
      </c>
      <c r="D7">
        <v>7</v>
      </c>
      <c r="E7">
        <v>19.8</v>
      </c>
      <c r="F7">
        <v>1.9</v>
      </c>
      <c r="G7">
        <v>73</v>
      </c>
      <c r="H7">
        <v>89.5</v>
      </c>
      <c r="I7">
        <v>7.6</v>
      </c>
      <c r="J7">
        <v>30.9</v>
      </c>
      <c r="K7">
        <v>7.9</v>
      </c>
      <c r="L7">
        <v>100.478922195</v>
      </c>
      <c r="M7">
        <v>25.9</v>
      </c>
      <c r="N7">
        <v>59.4</v>
      </c>
    </row>
    <row r="8" spans="1:14" x14ac:dyDescent="0.2">
      <c r="A8" t="s">
        <v>712</v>
      </c>
      <c r="B8">
        <v>660821</v>
      </c>
      <c r="C8">
        <v>2026</v>
      </c>
      <c r="D8">
        <v>7</v>
      </c>
      <c r="E8">
        <v>22.2</v>
      </c>
      <c r="F8">
        <v>4.3</v>
      </c>
      <c r="G8">
        <v>73.900000000000006</v>
      </c>
      <c r="H8">
        <v>91.1</v>
      </c>
      <c r="I8">
        <v>10.9</v>
      </c>
      <c r="J8">
        <v>32.9</v>
      </c>
      <c r="K8">
        <v>10.8</v>
      </c>
      <c r="L8">
        <v>101.913416265</v>
      </c>
      <c r="M8">
        <v>26.1</v>
      </c>
      <c r="N8">
        <v>55</v>
      </c>
    </row>
    <row r="9" spans="1:14" x14ac:dyDescent="0.2">
      <c r="A9" t="s">
        <v>713</v>
      </c>
      <c r="B9">
        <v>805367</v>
      </c>
      <c r="C9">
        <v>2026</v>
      </c>
      <c r="D9">
        <v>7</v>
      </c>
      <c r="E9">
        <v>24</v>
      </c>
      <c r="F9">
        <v>9.4</v>
      </c>
      <c r="G9">
        <v>67</v>
      </c>
      <c r="H9">
        <v>87.7</v>
      </c>
      <c r="I9">
        <v>7.8</v>
      </c>
      <c r="J9">
        <v>34.5</v>
      </c>
      <c r="K9">
        <v>4.3</v>
      </c>
      <c r="L9">
        <v>97.331823387</v>
      </c>
      <c r="M9">
        <v>19.600000000000001</v>
      </c>
      <c r="N9">
        <v>41</v>
      </c>
    </row>
    <row r="10" spans="1:14" x14ac:dyDescent="0.2">
      <c r="A10" t="s">
        <v>714</v>
      </c>
      <c r="B10">
        <v>641487</v>
      </c>
      <c r="C10">
        <v>2026</v>
      </c>
      <c r="D10">
        <v>10</v>
      </c>
      <c r="E10">
        <v>20.6</v>
      </c>
      <c r="F10">
        <v>13.4</v>
      </c>
      <c r="G10">
        <v>71.5</v>
      </c>
      <c r="H10">
        <v>88.4</v>
      </c>
      <c r="I10">
        <v>11.7</v>
      </c>
      <c r="J10">
        <v>36.6</v>
      </c>
      <c r="K10">
        <v>7</v>
      </c>
      <c r="L10">
        <v>98.529093868000004</v>
      </c>
      <c r="M10">
        <v>17.7</v>
      </c>
      <c r="N10">
        <v>38.6</v>
      </c>
    </row>
    <row r="11" spans="1:14" x14ac:dyDescent="0.2">
      <c r="A11" t="s">
        <v>715</v>
      </c>
      <c r="B11">
        <v>677956</v>
      </c>
      <c r="C11">
        <v>2026</v>
      </c>
      <c r="D11">
        <v>0</v>
      </c>
      <c r="E11">
        <v>50</v>
      </c>
      <c r="F11">
        <v>2.6</v>
      </c>
      <c r="G11">
        <v>73.2</v>
      </c>
      <c r="H11">
        <v>85.2</v>
      </c>
      <c r="I11">
        <v>23.5</v>
      </c>
      <c r="J11">
        <v>23.5</v>
      </c>
      <c r="K11">
        <v>0</v>
      </c>
      <c r="L11">
        <v>96.956021250000006</v>
      </c>
      <c r="M11">
        <v>46</v>
      </c>
      <c r="N11">
        <v>56.1</v>
      </c>
    </row>
    <row r="12" spans="1:14" x14ac:dyDescent="0.2">
      <c r="A12" t="s">
        <v>716</v>
      </c>
      <c r="B12">
        <v>593871</v>
      </c>
      <c r="C12">
        <v>2026</v>
      </c>
      <c r="D12">
        <v>1</v>
      </c>
      <c r="E12">
        <v>17.7</v>
      </c>
      <c r="F12">
        <v>7.6</v>
      </c>
      <c r="G12">
        <v>69.599999999999994</v>
      </c>
      <c r="H12">
        <v>85.2</v>
      </c>
      <c r="I12">
        <v>12.7</v>
      </c>
      <c r="J12">
        <v>35.6</v>
      </c>
      <c r="K12">
        <v>3.4</v>
      </c>
      <c r="L12">
        <v>96.811358666999993</v>
      </c>
      <c r="M12">
        <v>19.399999999999999</v>
      </c>
      <c r="N12">
        <v>47</v>
      </c>
    </row>
    <row r="13" spans="1:14" x14ac:dyDescent="0.2">
      <c r="A13" t="s">
        <v>717</v>
      </c>
      <c r="B13">
        <v>690924</v>
      </c>
      <c r="C13">
        <v>2026</v>
      </c>
      <c r="D13">
        <v>1</v>
      </c>
      <c r="E13">
        <v>40.9</v>
      </c>
      <c r="F13">
        <v>9.1</v>
      </c>
      <c r="G13">
        <v>72</v>
      </c>
      <c r="H13">
        <v>86.5</v>
      </c>
      <c r="I13">
        <v>27.1</v>
      </c>
      <c r="J13">
        <v>25</v>
      </c>
      <c r="K13">
        <v>9.4</v>
      </c>
      <c r="L13">
        <v>96.797224999999997</v>
      </c>
      <c r="M13">
        <v>37.700000000000003</v>
      </c>
      <c r="N13">
        <v>43</v>
      </c>
    </row>
    <row r="14" spans="1:14" x14ac:dyDescent="0.2">
      <c r="A14" t="s">
        <v>718</v>
      </c>
      <c r="B14">
        <v>683734</v>
      </c>
      <c r="C14">
        <v>2026</v>
      </c>
      <c r="D14">
        <v>2</v>
      </c>
      <c r="E14">
        <v>11.1</v>
      </c>
      <c r="F14">
        <v>11.7</v>
      </c>
      <c r="G14">
        <v>70</v>
      </c>
      <c r="H14">
        <v>89.7</v>
      </c>
      <c r="I14">
        <v>9.4</v>
      </c>
      <c r="J14">
        <v>33.799999999999997</v>
      </c>
      <c r="K14">
        <v>3.8</v>
      </c>
      <c r="L14">
        <v>98.905854461999994</v>
      </c>
      <c r="M14">
        <v>18.2</v>
      </c>
      <c r="N14">
        <v>40.5</v>
      </c>
    </row>
    <row r="15" spans="1:14" x14ac:dyDescent="0.2">
      <c r="A15" t="s">
        <v>719</v>
      </c>
      <c r="B15">
        <v>671277</v>
      </c>
      <c r="C15">
        <v>2026</v>
      </c>
      <c r="D15">
        <v>20</v>
      </c>
      <c r="E15">
        <v>15</v>
      </c>
      <c r="F15">
        <v>4.7</v>
      </c>
      <c r="G15">
        <v>73.599999999999994</v>
      </c>
      <c r="H15">
        <v>91.9</v>
      </c>
      <c r="I15">
        <v>11.5</v>
      </c>
      <c r="J15">
        <v>34.4</v>
      </c>
      <c r="K15">
        <v>10.7</v>
      </c>
      <c r="L15">
        <v>102.362292381</v>
      </c>
      <c r="M15">
        <v>19.2</v>
      </c>
      <c r="N15">
        <v>53.7</v>
      </c>
    </row>
    <row r="16" spans="1:14" x14ac:dyDescent="0.2">
      <c r="A16" t="s">
        <v>720</v>
      </c>
      <c r="B16">
        <v>656413</v>
      </c>
      <c r="C16">
        <v>2026</v>
      </c>
      <c r="D16">
        <v>0</v>
      </c>
      <c r="E16">
        <v>51.9</v>
      </c>
      <c r="F16">
        <v>25.9</v>
      </c>
      <c r="G16">
        <v>71</v>
      </c>
      <c r="H16">
        <v>94.2</v>
      </c>
      <c r="I16">
        <v>16.3</v>
      </c>
      <c r="J16">
        <v>20</v>
      </c>
      <c r="K16">
        <v>0</v>
      </c>
      <c r="L16">
        <v>101.9605</v>
      </c>
      <c r="M16">
        <v>69</v>
      </c>
      <c r="N16">
        <v>38.200000000000003</v>
      </c>
    </row>
    <row r="17" spans="1:14" x14ac:dyDescent="0.2">
      <c r="A17" t="s">
        <v>721</v>
      </c>
      <c r="B17">
        <v>663967</v>
      </c>
      <c r="C17">
        <v>2026</v>
      </c>
      <c r="D17">
        <v>0</v>
      </c>
      <c r="E17">
        <v>13.6</v>
      </c>
      <c r="F17">
        <v>13.6</v>
      </c>
      <c r="G17">
        <v>66.900000000000006</v>
      </c>
      <c r="H17">
        <v>88.6</v>
      </c>
      <c r="I17">
        <v>11.2</v>
      </c>
      <c r="J17">
        <v>20</v>
      </c>
      <c r="K17">
        <v>0</v>
      </c>
      <c r="L17">
        <v>96.633769999999998</v>
      </c>
      <c r="M17">
        <v>14.3</v>
      </c>
      <c r="N17">
        <v>44.2</v>
      </c>
    </row>
    <row r="18" spans="1:14" x14ac:dyDescent="0.2">
      <c r="A18" t="s">
        <v>722</v>
      </c>
      <c r="B18">
        <v>677060</v>
      </c>
      <c r="C18">
        <v>2026</v>
      </c>
      <c r="D18">
        <v>0</v>
      </c>
      <c r="E18">
        <v>38.200000000000003</v>
      </c>
      <c r="F18">
        <v>14.7</v>
      </c>
      <c r="G18">
        <v>71.900000000000006</v>
      </c>
      <c r="H18">
        <v>81.400000000000006</v>
      </c>
      <c r="I18">
        <v>13.2</v>
      </c>
      <c r="J18">
        <v>43.8</v>
      </c>
      <c r="K18">
        <v>6.3</v>
      </c>
      <c r="L18">
        <v>94.8961975</v>
      </c>
      <c r="M18">
        <v>31.1</v>
      </c>
      <c r="N18">
        <v>49</v>
      </c>
    </row>
    <row r="19" spans="1:14" x14ac:dyDescent="0.2">
      <c r="A19" t="s">
        <v>723</v>
      </c>
      <c r="B19">
        <v>663584</v>
      </c>
      <c r="C19">
        <v>2026</v>
      </c>
      <c r="D19">
        <v>1</v>
      </c>
      <c r="E19">
        <v>23.5</v>
      </c>
      <c r="F19">
        <v>0</v>
      </c>
      <c r="G19">
        <v>71.599999999999994</v>
      </c>
      <c r="H19">
        <v>82.3</v>
      </c>
      <c r="I19">
        <v>-3.1</v>
      </c>
      <c r="J19">
        <v>15.4</v>
      </c>
      <c r="K19">
        <v>0</v>
      </c>
      <c r="L19">
        <v>94.701694000000003</v>
      </c>
      <c r="M19">
        <v>32.4</v>
      </c>
      <c r="N19">
        <v>63</v>
      </c>
    </row>
    <row r="20" spans="1:14" x14ac:dyDescent="0.2">
      <c r="A20" t="s">
        <v>724</v>
      </c>
      <c r="B20">
        <v>687749</v>
      </c>
      <c r="C20">
        <v>2026</v>
      </c>
      <c r="D20">
        <v>0</v>
      </c>
      <c r="E20">
        <v>38.6</v>
      </c>
      <c r="F20">
        <v>4.5</v>
      </c>
      <c r="G20">
        <v>73.900000000000006</v>
      </c>
      <c r="H20">
        <v>85.5</v>
      </c>
      <c r="I20">
        <v>19.899999999999999</v>
      </c>
      <c r="J20">
        <v>24</v>
      </c>
      <c r="K20">
        <v>12.5</v>
      </c>
      <c r="L20">
        <v>96.285321818</v>
      </c>
      <c r="M20">
        <v>36.5</v>
      </c>
      <c r="N20">
        <v>49</v>
      </c>
    </row>
    <row r="21" spans="1:14" x14ac:dyDescent="0.2">
      <c r="A21" t="s">
        <v>725</v>
      </c>
      <c r="B21">
        <v>670541</v>
      </c>
      <c r="C21">
        <v>2026</v>
      </c>
      <c r="D21">
        <v>31</v>
      </c>
      <c r="E21">
        <v>17.100000000000001</v>
      </c>
      <c r="F21">
        <v>15</v>
      </c>
      <c r="G21">
        <v>76.099999999999994</v>
      </c>
      <c r="H21">
        <v>94.7</v>
      </c>
      <c r="I21">
        <v>19.8</v>
      </c>
      <c r="J21">
        <v>42.9</v>
      </c>
      <c r="K21">
        <v>18.7</v>
      </c>
      <c r="L21">
        <v>105.35638705</v>
      </c>
      <c r="M21">
        <v>19.600000000000001</v>
      </c>
      <c r="N21">
        <v>43.2</v>
      </c>
    </row>
    <row r="22" spans="1:14" x14ac:dyDescent="0.2">
      <c r="A22" t="s">
        <v>726</v>
      </c>
      <c r="B22">
        <v>670623</v>
      </c>
      <c r="C22">
        <v>2026</v>
      </c>
      <c r="D22">
        <v>12</v>
      </c>
      <c r="E22">
        <v>15.9</v>
      </c>
      <c r="F22">
        <v>9.6</v>
      </c>
      <c r="G22">
        <v>67.599999999999994</v>
      </c>
      <c r="H22">
        <v>86.7</v>
      </c>
      <c r="I22">
        <v>24</v>
      </c>
      <c r="J22">
        <v>37.4</v>
      </c>
      <c r="K22">
        <v>5.9</v>
      </c>
      <c r="L22">
        <v>96.645914963999999</v>
      </c>
      <c r="M22">
        <v>16.8</v>
      </c>
      <c r="N22">
        <v>43.7</v>
      </c>
    </row>
    <row r="23" spans="1:14" x14ac:dyDescent="0.2">
      <c r="A23" t="s">
        <v>727</v>
      </c>
      <c r="B23">
        <v>657136</v>
      </c>
      <c r="C23">
        <v>2026</v>
      </c>
      <c r="D23">
        <v>1</v>
      </c>
      <c r="E23">
        <v>20.9</v>
      </c>
      <c r="F23">
        <v>10.4</v>
      </c>
      <c r="G23">
        <v>72.5</v>
      </c>
      <c r="H23">
        <v>85.9</v>
      </c>
      <c r="I23">
        <v>11.3</v>
      </c>
      <c r="J23">
        <v>28.4</v>
      </c>
      <c r="K23">
        <v>4.5</v>
      </c>
      <c r="L23">
        <v>98.968334634000001</v>
      </c>
      <c r="M23">
        <v>22.8</v>
      </c>
      <c r="N23">
        <v>45.8</v>
      </c>
    </row>
    <row r="24" spans="1:14" x14ac:dyDescent="0.2">
      <c r="A24" t="s">
        <v>728</v>
      </c>
      <c r="B24">
        <v>672515</v>
      </c>
      <c r="C24">
        <v>2026</v>
      </c>
      <c r="D24">
        <v>6</v>
      </c>
      <c r="E24">
        <v>15.6</v>
      </c>
      <c r="F24">
        <v>11.6</v>
      </c>
      <c r="G24">
        <v>71.7</v>
      </c>
      <c r="H24">
        <v>89.4</v>
      </c>
      <c r="I24">
        <v>11.5</v>
      </c>
      <c r="J24">
        <v>37.1</v>
      </c>
      <c r="K24">
        <v>7.1</v>
      </c>
      <c r="L24">
        <v>99.513649999999998</v>
      </c>
      <c r="M24">
        <v>16.600000000000001</v>
      </c>
      <c r="N24">
        <v>41.6</v>
      </c>
    </row>
    <row r="25" spans="1:14" x14ac:dyDescent="0.2">
      <c r="A25" t="s">
        <v>729</v>
      </c>
      <c r="B25">
        <v>669369</v>
      </c>
      <c r="C25">
        <v>2026</v>
      </c>
      <c r="D25">
        <v>0</v>
      </c>
      <c r="E25">
        <v>36.700000000000003</v>
      </c>
      <c r="F25">
        <v>6.1</v>
      </c>
      <c r="G25">
        <v>67.5</v>
      </c>
      <c r="H25">
        <v>79.099999999999994</v>
      </c>
      <c r="I25">
        <v>18.7</v>
      </c>
      <c r="J25">
        <v>21.4</v>
      </c>
      <c r="K25">
        <v>0</v>
      </c>
      <c r="L25">
        <v>88.992205385000005</v>
      </c>
      <c r="M25">
        <v>32.299999999999997</v>
      </c>
      <c r="N25">
        <v>49.5</v>
      </c>
    </row>
    <row r="26" spans="1:14" x14ac:dyDescent="0.2">
      <c r="A26" t="s">
        <v>730</v>
      </c>
      <c r="B26">
        <v>672275</v>
      </c>
      <c r="C26">
        <v>2026</v>
      </c>
      <c r="D26">
        <v>3</v>
      </c>
      <c r="E26">
        <v>25.8</v>
      </c>
      <c r="F26">
        <v>6.7</v>
      </c>
      <c r="G26">
        <v>73</v>
      </c>
      <c r="H26">
        <v>90.2</v>
      </c>
      <c r="I26">
        <v>12.8</v>
      </c>
      <c r="J26">
        <v>31.3</v>
      </c>
      <c r="K26">
        <v>6.2</v>
      </c>
      <c r="L26">
        <v>98.983874063000002</v>
      </c>
      <c r="M26">
        <v>27.5</v>
      </c>
      <c r="N26">
        <v>50.1</v>
      </c>
    </row>
    <row r="27" spans="1:14" x14ac:dyDescent="0.2">
      <c r="A27" t="s">
        <v>731</v>
      </c>
      <c r="B27">
        <v>668670</v>
      </c>
      <c r="C27">
        <v>2026</v>
      </c>
      <c r="D27">
        <v>3</v>
      </c>
      <c r="E27">
        <v>30</v>
      </c>
      <c r="F27">
        <v>11</v>
      </c>
      <c r="G27">
        <v>70.599999999999994</v>
      </c>
      <c r="H27">
        <v>88.5</v>
      </c>
      <c r="I27">
        <v>27.8</v>
      </c>
      <c r="J27">
        <v>32.799999999999997</v>
      </c>
      <c r="K27">
        <v>8.6</v>
      </c>
      <c r="L27">
        <v>98.168430000000001</v>
      </c>
      <c r="M27">
        <v>29.7</v>
      </c>
      <c r="N27">
        <v>43.1</v>
      </c>
    </row>
    <row r="28" spans="1:14" x14ac:dyDescent="0.2">
      <c r="A28" t="s">
        <v>732</v>
      </c>
      <c r="B28">
        <v>808959</v>
      </c>
      <c r="C28">
        <v>2026</v>
      </c>
      <c r="D28">
        <v>20</v>
      </c>
      <c r="E28">
        <v>33.6</v>
      </c>
      <c r="F28">
        <v>17.8</v>
      </c>
      <c r="G28">
        <v>75.2</v>
      </c>
      <c r="H28">
        <v>94.1</v>
      </c>
      <c r="I28">
        <v>14</v>
      </c>
      <c r="J28">
        <v>28</v>
      </c>
      <c r="K28">
        <v>20</v>
      </c>
      <c r="L28">
        <v>104.83807145199999</v>
      </c>
      <c r="M28">
        <v>43.2</v>
      </c>
      <c r="N28">
        <v>41.6</v>
      </c>
    </row>
    <row r="29" spans="1:14" x14ac:dyDescent="0.2">
      <c r="A29" t="s">
        <v>733</v>
      </c>
      <c r="B29">
        <v>673490</v>
      </c>
      <c r="C29">
        <v>2026</v>
      </c>
      <c r="D29">
        <v>0</v>
      </c>
      <c r="E29">
        <v>26.8</v>
      </c>
      <c r="F29">
        <v>11</v>
      </c>
      <c r="G29">
        <v>71.900000000000006</v>
      </c>
      <c r="H29">
        <v>85.2</v>
      </c>
      <c r="I29">
        <v>18.5</v>
      </c>
      <c r="J29">
        <v>19.600000000000001</v>
      </c>
      <c r="K29">
        <v>4.0999999999999996</v>
      </c>
      <c r="L29">
        <v>93.957765832999996</v>
      </c>
      <c r="M29">
        <v>21.1</v>
      </c>
      <c r="N29">
        <v>42.1</v>
      </c>
    </row>
    <row r="30" spans="1:14" x14ac:dyDescent="0.2">
      <c r="A30" t="s">
        <v>734</v>
      </c>
      <c r="B30">
        <v>696135</v>
      </c>
      <c r="C30">
        <v>2026</v>
      </c>
      <c r="D30">
        <v>1</v>
      </c>
      <c r="E30">
        <v>35</v>
      </c>
      <c r="F30">
        <v>3.8</v>
      </c>
      <c r="G30">
        <v>73</v>
      </c>
      <c r="H30">
        <v>89.3</v>
      </c>
      <c r="I30">
        <v>12.1</v>
      </c>
      <c r="J30">
        <v>28.6</v>
      </c>
      <c r="K30">
        <v>8.1999999999999993</v>
      </c>
      <c r="L30">
        <v>97.958213749999999</v>
      </c>
      <c r="M30">
        <v>33.5</v>
      </c>
      <c r="N30">
        <v>52.9</v>
      </c>
    </row>
    <row r="31" spans="1:14" x14ac:dyDescent="0.2">
      <c r="A31" t="s">
        <v>735</v>
      </c>
      <c r="B31">
        <v>807712</v>
      </c>
      <c r="C31">
        <v>2026</v>
      </c>
      <c r="D31">
        <v>4</v>
      </c>
      <c r="E31">
        <v>15.2</v>
      </c>
      <c r="F31">
        <v>9.6</v>
      </c>
      <c r="G31">
        <v>69.400000000000006</v>
      </c>
      <c r="H31">
        <v>84.6</v>
      </c>
      <c r="I31">
        <v>16.899999999999999</v>
      </c>
      <c r="J31">
        <v>35.799999999999997</v>
      </c>
      <c r="K31">
        <v>3.1</v>
      </c>
      <c r="L31">
        <v>96.388511328000007</v>
      </c>
      <c r="M31">
        <v>16.899999999999999</v>
      </c>
      <c r="N31">
        <v>41.7</v>
      </c>
    </row>
    <row r="32" spans="1:14" x14ac:dyDescent="0.2">
      <c r="A32" t="s">
        <v>736</v>
      </c>
      <c r="B32">
        <v>642133</v>
      </c>
      <c r="C32">
        <v>2026</v>
      </c>
      <c r="D32">
        <v>1</v>
      </c>
      <c r="E32">
        <v>27.3</v>
      </c>
      <c r="F32">
        <v>9.1</v>
      </c>
      <c r="G32">
        <v>76.400000000000006</v>
      </c>
      <c r="H32">
        <v>91.8</v>
      </c>
      <c r="I32">
        <v>26.9</v>
      </c>
      <c r="J32">
        <v>57.1</v>
      </c>
      <c r="K32">
        <v>28.6</v>
      </c>
      <c r="L32">
        <v>100.83586750000001</v>
      </c>
      <c r="M32">
        <v>30.4</v>
      </c>
      <c r="N32">
        <v>44.2</v>
      </c>
    </row>
    <row r="33" spans="1:14" x14ac:dyDescent="0.2">
      <c r="A33" t="s">
        <v>737</v>
      </c>
      <c r="B33">
        <v>641355</v>
      </c>
      <c r="C33">
        <v>2026</v>
      </c>
      <c r="D33">
        <v>11</v>
      </c>
      <c r="E33">
        <v>14.9</v>
      </c>
      <c r="F33">
        <v>12.7</v>
      </c>
      <c r="G33">
        <v>69.5</v>
      </c>
      <c r="H33">
        <v>88.9</v>
      </c>
      <c r="I33">
        <v>17.899999999999999</v>
      </c>
      <c r="J33">
        <v>39.4</v>
      </c>
      <c r="K33">
        <v>6.6</v>
      </c>
      <c r="L33">
        <v>98.531215861999996</v>
      </c>
      <c r="M33">
        <v>19.7</v>
      </c>
      <c r="N33">
        <v>45.4</v>
      </c>
    </row>
    <row r="34" spans="1:14" x14ac:dyDescent="0.2">
      <c r="A34" t="s">
        <v>738</v>
      </c>
      <c r="B34">
        <v>676369</v>
      </c>
      <c r="C34">
        <v>2026</v>
      </c>
      <c r="D34">
        <v>4</v>
      </c>
      <c r="E34">
        <v>24.6</v>
      </c>
      <c r="F34">
        <v>9.1999999999999993</v>
      </c>
      <c r="G34">
        <v>74.900000000000006</v>
      </c>
      <c r="H34">
        <v>94.7</v>
      </c>
      <c r="I34">
        <v>15.3</v>
      </c>
      <c r="J34">
        <v>40.5</v>
      </c>
      <c r="K34">
        <v>11.9</v>
      </c>
      <c r="L34">
        <v>103.06491142900001</v>
      </c>
      <c r="M34">
        <v>35.700000000000003</v>
      </c>
      <c r="N34">
        <v>51.2</v>
      </c>
    </row>
    <row r="35" spans="1:14" x14ac:dyDescent="0.2">
      <c r="A35" t="s">
        <v>739</v>
      </c>
      <c r="B35">
        <v>457705</v>
      </c>
      <c r="C35">
        <v>2026</v>
      </c>
      <c r="D35">
        <v>1</v>
      </c>
      <c r="E35">
        <v>26.5</v>
      </c>
      <c r="F35">
        <v>10.8</v>
      </c>
      <c r="G35">
        <v>70.5</v>
      </c>
      <c r="H35">
        <v>87.1</v>
      </c>
      <c r="I35">
        <v>22.7</v>
      </c>
      <c r="J35">
        <v>28.8</v>
      </c>
      <c r="K35">
        <v>5.8</v>
      </c>
      <c r="L35">
        <v>97.078163462000006</v>
      </c>
      <c r="M35">
        <v>32.5</v>
      </c>
      <c r="N35">
        <v>44.9</v>
      </c>
    </row>
    <row r="36" spans="1:14" x14ac:dyDescent="0.2">
      <c r="A36" t="s">
        <v>740</v>
      </c>
      <c r="B36">
        <v>621043</v>
      </c>
      <c r="C36">
        <v>2026</v>
      </c>
      <c r="D36">
        <v>3</v>
      </c>
      <c r="E36">
        <v>18.399999999999999</v>
      </c>
      <c r="F36">
        <v>12.8</v>
      </c>
      <c r="G36">
        <v>73.400000000000006</v>
      </c>
      <c r="H36">
        <v>89.2</v>
      </c>
      <c r="I36">
        <v>7.2</v>
      </c>
      <c r="J36">
        <v>36.1</v>
      </c>
      <c r="K36">
        <v>10.3</v>
      </c>
      <c r="L36">
        <v>101.66870918399999</v>
      </c>
      <c r="M36">
        <v>22.9</v>
      </c>
      <c r="N36">
        <v>45</v>
      </c>
    </row>
    <row r="37" spans="1:14" x14ac:dyDescent="0.2">
      <c r="A37" t="s">
        <v>741</v>
      </c>
      <c r="B37">
        <v>642020</v>
      </c>
      <c r="C37">
        <v>2026</v>
      </c>
      <c r="D37">
        <v>0</v>
      </c>
      <c r="E37">
        <v>19.2</v>
      </c>
      <c r="F37">
        <v>0</v>
      </c>
      <c r="G37">
        <v>69.7</v>
      </c>
      <c r="H37">
        <v>85.8</v>
      </c>
      <c r="I37">
        <v>17.8</v>
      </c>
      <c r="J37">
        <v>19</v>
      </c>
      <c r="K37">
        <v>0</v>
      </c>
      <c r="L37">
        <v>95.375718750000004</v>
      </c>
      <c r="M37">
        <v>29.6</v>
      </c>
      <c r="N37">
        <v>60</v>
      </c>
    </row>
    <row r="38" spans="1:14" x14ac:dyDescent="0.2">
      <c r="A38" t="s">
        <v>742</v>
      </c>
      <c r="B38">
        <v>670224</v>
      </c>
      <c r="C38">
        <v>2026</v>
      </c>
      <c r="D38">
        <v>0</v>
      </c>
      <c r="E38">
        <v>38.6</v>
      </c>
      <c r="F38">
        <v>4.5</v>
      </c>
      <c r="G38">
        <v>74.400000000000006</v>
      </c>
      <c r="H38">
        <v>81.8</v>
      </c>
      <c r="I38">
        <v>23</v>
      </c>
      <c r="J38">
        <v>28</v>
      </c>
      <c r="K38">
        <v>0</v>
      </c>
      <c r="L38">
        <v>94.464596666999995</v>
      </c>
      <c r="M38">
        <v>36.700000000000003</v>
      </c>
      <c r="N38">
        <v>53.3</v>
      </c>
    </row>
    <row r="39" spans="1:14" x14ac:dyDescent="0.2">
      <c r="A39" t="s">
        <v>743</v>
      </c>
      <c r="B39">
        <v>680977</v>
      </c>
      <c r="C39">
        <v>2026</v>
      </c>
      <c r="D39">
        <v>3</v>
      </c>
      <c r="E39">
        <v>14.9</v>
      </c>
      <c r="F39">
        <v>10.9</v>
      </c>
      <c r="G39">
        <v>68.5</v>
      </c>
      <c r="H39">
        <v>85.9</v>
      </c>
      <c r="I39">
        <v>14.8</v>
      </c>
      <c r="J39">
        <v>38.6</v>
      </c>
      <c r="K39">
        <v>4.4000000000000004</v>
      </c>
      <c r="L39">
        <v>96.905916470999998</v>
      </c>
      <c r="M39">
        <v>20.399999999999999</v>
      </c>
      <c r="N39">
        <v>42.7</v>
      </c>
    </row>
    <row r="40" spans="1:14" x14ac:dyDescent="0.2">
      <c r="A40" t="s">
        <v>744</v>
      </c>
      <c r="B40">
        <v>669384</v>
      </c>
      <c r="C40">
        <v>2026</v>
      </c>
      <c r="D40">
        <v>1</v>
      </c>
      <c r="E40">
        <v>15.2</v>
      </c>
      <c r="F40">
        <v>6.1</v>
      </c>
      <c r="G40">
        <v>70.7</v>
      </c>
      <c r="H40">
        <v>87.2</v>
      </c>
      <c r="I40">
        <v>3.6</v>
      </c>
      <c r="J40">
        <v>30.8</v>
      </c>
      <c r="K40">
        <v>3.8</v>
      </c>
      <c r="L40">
        <v>95.520518461999998</v>
      </c>
      <c r="M40">
        <v>27.3</v>
      </c>
      <c r="N40">
        <v>55.6</v>
      </c>
    </row>
    <row r="41" spans="1:14" x14ac:dyDescent="0.2">
      <c r="A41" t="s">
        <v>745</v>
      </c>
      <c r="B41">
        <v>696285</v>
      </c>
      <c r="C41">
        <v>2026</v>
      </c>
      <c r="D41">
        <v>8</v>
      </c>
      <c r="E41">
        <v>18.8</v>
      </c>
      <c r="F41">
        <v>5.2</v>
      </c>
      <c r="G41">
        <v>69.400000000000006</v>
      </c>
      <c r="H41">
        <v>88.7</v>
      </c>
      <c r="I41">
        <v>10</v>
      </c>
      <c r="J41">
        <v>34.9</v>
      </c>
      <c r="K41">
        <v>6.1</v>
      </c>
      <c r="L41">
        <v>98.507134527999995</v>
      </c>
      <c r="M41">
        <v>20.6</v>
      </c>
      <c r="N41">
        <v>43.4</v>
      </c>
    </row>
    <row r="42" spans="1:14" x14ac:dyDescent="0.2">
      <c r="A42" t="s">
        <v>746</v>
      </c>
      <c r="B42">
        <v>686823</v>
      </c>
      <c r="C42">
        <v>2026</v>
      </c>
      <c r="D42">
        <v>0</v>
      </c>
      <c r="E42">
        <v>13</v>
      </c>
      <c r="F42">
        <v>0</v>
      </c>
      <c r="G42">
        <v>68.400000000000006</v>
      </c>
      <c r="H42">
        <v>82.9</v>
      </c>
      <c r="I42">
        <v>20.2</v>
      </c>
      <c r="J42">
        <v>20</v>
      </c>
      <c r="K42">
        <v>0</v>
      </c>
      <c r="L42">
        <v>94.760290999999995</v>
      </c>
      <c r="M42">
        <v>8</v>
      </c>
      <c r="N42">
        <v>64.900000000000006</v>
      </c>
    </row>
    <row r="43" spans="1:14" x14ac:dyDescent="0.2">
      <c r="A43" t="s">
        <v>747</v>
      </c>
      <c r="B43">
        <v>691781</v>
      </c>
      <c r="C43">
        <v>2026</v>
      </c>
      <c r="D43">
        <v>7</v>
      </c>
      <c r="E43">
        <v>28.2</v>
      </c>
      <c r="F43">
        <v>7.3</v>
      </c>
      <c r="G43">
        <v>73.5</v>
      </c>
      <c r="H43">
        <v>89</v>
      </c>
      <c r="I43">
        <v>5.5</v>
      </c>
      <c r="J43">
        <v>28.9</v>
      </c>
      <c r="K43">
        <v>10.6</v>
      </c>
      <c r="L43">
        <v>101.529832982</v>
      </c>
      <c r="M43">
        <v>33</v>
      </c>
      <c r="N43">
        <v>52.2</v>
      </c>
    </row>
    <row r="44" spans="1:14" x14ac:dyDescent="0.2">
      <c r="A44" t="s">
        <v>748</v>
      </c>
      <c r="B44">
        <v>665019</v>
      </c>
      <c r="C44">
        <v>2026</v>
      </c>
      <c r="D44">
        <v>16</v>
      </c>
      <c r="E44">
        <v>22.6</v>
      </c>
      <c r="F44">
        <v>6.6</v>
      </c>
      <c r="G44">
        <v>71.900000000000006</v>
      </c>
      <c r="H44">
        <v>92.6</v>
      </c>
      <c r="I44">
        <v>16.7</v>
      </c>
      <c r="J44">
        <v>35.700000000000003</v>
      </c>
      <c r="K44">
        <v>12.7</v>
      </c>
      <c r="L44">
        <v>101.443539204</v>
      </c>
      <c r="M44">
        <v>25.8</v>
      </c>
      <c r="N44">
        <v>49.5</v>
      </c>
    </row>
    <row r="45" spans="1:14" x14ac:dyDescent="0.2">
      <c r="A45" t="s">
        <v>749</v>
      </c>
      <c r="B45">
        <v>677592</v>
      </c>
      <c r="C45">
        <v>2026</v>
      </c>
      <c r="D45">
        <v>3</v>
      </c>
      <c r="E45">
        <v>29.9</v>
      </c>
      <c r="F45">
        <v>6.5</v>
      </c>
      <c r="G45">
        <v>74.599999999999994</v>
      </c>
      <c r="H45">
        <v>87.9</v>
      </c>
      <c r="I45">
        <v>11.3</v>
      </c>
      <c r="J45">
        <v>38.299999999999997</v>
      </c>
      <c r="K45">
        <v>10.6</v>
      </c>
      <c r="L45">
        <v>100.212220833</v>
      </c>
      <c r="M45">
        <v>37.700000000000003</v>
      </c>
      <c r="N45">
        <v>58.6</v>
      </c>
    </row>
    <row r="46" spans="1:14" x14ac:dyDescent="0.2">
      <c r="A46" t="s">
        <v>750</v>
      </c>
      <c r="B46">
        <v>669899</v>
      </c>
      <c r="C46">
        <v>2026</v>
      </c>
      <c r="D46">
        <v>3</v>
      </c>
      <c r="E46">
        <v>28.3</v>
      </c>
      <c r="F46">
        <v>8.3000000000000007</v>
      </c>
      <c r="G46">
        <v>71.599999999999994</v>
      </c>
      <c r="H46">
        <v>88.5</v>
      </c>
      <c r="I46">
        <v>19.3</v>
      </c>
      <c r="J46">
        <v>36.799999999999997</v>
      </c>
      <c r="K46">
        <v>10.8</v>
      </c>
      <c r="L46">
        <v>99.059412105000007</v>
      </c>
      <c r="M46">
        <v>27.6</v>
      </c>
      <c r="N46">
        <v>53.2</v>
      </c>
    </row>
    <row r="47" spans="1:14" x14ac:dyDescent="0.2">
      <c r="A47" t="s">
        <v>751</v>
      </c>
      <c r="B47">
        <v>694497</v>
      </c>
      <c r="C47">
        <v>2026</v>
      </c>
      <c r="D47">
        <v>7</v>
      </c>
      <c r="E47">
        <v>24.4</v>
      </c>
      <c r="F47">
        <v>12.4</v>
      </c>
      <c r="G47">
        <v>71.400000000000006</v>
      </c>
      <c r="H47">
        <v>87.7</v>
      </c>
      <c r="I47">
        <v>17.5</v>
      </c>
      <c r="J47">
        <v>29.3</v>
      </c>
      <c r="K47">
        <v>6.7</v>
      </c>
      <c r="L47">
        <v>99.230360896999997</v>
      </c>
      <c r="M47">
        <v>27.8</v>
      </c>
      <c r="N47">
        <v>40.5</v>
      </c>
    </row>
    <row r="48" spans="1:14" x14ac:dyDescent="0.2">
      <c r="A48" t="s">
        <v>752</v>
      </c>
      <c r="B48">
        <v>668715</v>
      </c>
      <c r="C48">
        <v>2026</v>
      </c>
      <c r="D48">
        <v>14</v>
      </c>
      <c r="E48">
        <v>22.3</v>
      </c>
      <c r="F48">
        <v>9.5</v>
      </c>
      <c r="G48">
        <v>71</v>
      </c>
      <c r="H48">
        <v>89.7</v>
      </c>
      <c r="I48">
        <v>16.5</v>
      </c>
      <c r="J48">
        <v>36.1</v>
      </c>
      <c r="K48">
        <v>12.6</v>
      </c>
      <c r="L48">
        <v>99.529197679000006</v>
      </c>
      <c r="M48">
        <v>25.2</v>
      </c>
      <c r="N48">
        <v>45.2</v>
      </c>
    </row>
    <row r="49" spans="1:14" x14ac:dyDescent="0.2">
      <c r="A49" t="s">
        <v>753</v>
      </c>
      <c r="B49">
        <v>670032</v>
      </c>
      <c r="C49">
        <v>2026</v>
      </c>
      <c r="D49">
        <v>1</v>
      </c>
      <c r="E49">
        <v>14.3</v>
      </c>
      <c r="F49">
        <v>3.2</v>
      </c>
      <c r="G49">
        <v>66.400000000000006</v>
      </c>
      <c r="H49">
        <v>84.8</v>
      </c>
      <c r="I49">
        <v>0.2</v>
      </c>
      <c r="J49">
        <v>23.5</v>
      </c>
      <c r="K49">
        <v>0</v>
      </c>
      <c r="L49">
        <v>94.298615832999999</v>
      </c>
      <c r="M49">
        <v>18.3</v>
      </c>
      <c r="N49">
        <v>52</v>
      </c>
    </row>
    <row r="50" spans="1:14" x14ac:dyDescent="0.2">
      <c r="A50" t="s">
        <v>754</v>
      </c>
      <c r="B50">
        <v>656484</v>
      </c>
      <c r="C50">
        <v>2026</v>
      </c>
      <c r="D50">
        <v>4</v>
      </c>
      <c r="E50">
        <v>31.1</v>
      </c>
      <c r="F50">
        <v>5</v>
      </c>
      <c r="G50">
        <v>72.599999999999994</v>
      </c>
      <c r="H50">
        <v>88.5</v>
      </c>
      <c r="I50">
        <v>14.1</v>
      </c>
      <c r="J50">
        <v>39.5</v>
      </c>
      <c r="K50">
        <v>6.2</v>
      </c>
      <c r="L50">
        <v>99.901876908999995</v>
      </c>
      <c r="M50">
        <v>33.299999999999997</v>
      </c>
      <c r="N50">
        <v>56.5</v>
      </c>
    </row>
    <row r="51" spans="1:14" x14ac:dyDescent="0.2">
      <c r="A51" t="s">
        <v>755</v>
      </c>
      <c r="B51">
        <v>663604</v>
      </c>
      <c r="C51">
        <v>2026</v>
      </c>
      <c r="D51">
        <v>0</v>
      </c>
      <c r="E51">
        <v>26</v>
      </c>
      <c r="F51">
        <v>10.4</v>
      </c>
      <c r="G51">
        <v>72.900000000000006</v>
      </c>
      <c r="H51">
        <v>86.2</v>
      </c>
      <c r="I51">
        <v>1.2</v>
      </c>
      <c r="J51">
        <v>19.7</v>
      </c>
      <c r="K51">
        <v>1.7</v>
      </c>
      <c r="L51">
        <v>98.890063213999994</v>
      </c>
      <c r="M51">
        <v>27.6</v>
      </c>
      <c r="N51">
        <v>43.8</v>
      </c>
    </row>
    <row r="52" spans="1:14" x14ac:dyDescent="0.2">
      <c r="A52" t="s">
        <v>756</v>
      </c>
      <c r="B52">
        <v>680574</v>
      </c>
      <c r="C52">
        <v>2026</v>
      </c>
      <c r="D52">
        <v>8</v>
      </c>
      <c r="E52">
        <v>26.9</v>
      </c>
      <c r="F52">
        <v>11.7</v>
      </c>
      <c r="G52">
        <v>71.7</v>
      </c>
      <c r="H52">
        <v>88.8</v>
      </c>
      <c r="I52">
        <v>20.3</v>
      </c>
      <c r="J52">
        <v>37.4</v>
      </c>
      <c r="K52">
        <v>9.1999999999999993</v>
      </c>
      <c r="L52">
        <v>99.138527889000002</v>
      </c>
      <c r="M52">
        <v>27.4</v>
      </c>
      <c r="N52">
        <v>42.6</v>
      </c>
    </row>
    <row r="53" spans="1:14" x14ac:dyDescent="0.2">
      <c r="A53" t="s">
        <v>757</v>
      </c>
      <c r="B53">
        <v>592518</v>
      </c>
      <c r="C53">
        <v>2026</v>
      </c>
      <c r="D53">
        <v>19</v>
      </c>
      <c r="E53">
        <v>22.3</v>
      </c>
      <c r="F53">
        <v>11.3</v>
      </c>
      <c r="G53">
        <v>74.599999999999994</v>
      </c>
      <c r="H53">
        <v>90.1</v>
      </c>
      <c r="I53">
        <v>12.9</v>
      </c>
      <c r="J53">
        <v>32</v>
      </c>
      <c r="K53">
        <v>10.4</v>
      </c>
      <c r="L53">
        <v>101.067491008</v>
      </c>
      <c r="M53">
        <v>26.9</v>
      </c>
      <c r="N53">
        <v>47.9</v>
      </c>
    </row>
    <row r="54" spans="1:14" x14ac:dyDescent="0.2">
      <c r="A54" t="s">
        <v>758</v>
      </c>
      <c r="B54">
        <v>665487</v>
      </c>
      <c r="C54">
        <v>2026</v>
      </c>
      <c r="D54">
        <v>5</v>
      </c>
      <c r="E54">
        <v>20.9</v>
      </c>
      <c r="F54">
        <v>8.1999999999999993</v>
      </c>
      <c r="G54">
        <v>75.8</v>
      </c>
      <c r="H54">
        <v>91.8</v>
      </c>
      <c r="I54">
        <v>4.4000000000000004</v>
      </c>
      <c r="J54">
        <v>30.6</v>
      </c>
      <c r="K54">
        <v>10.7</v>
      </c>
      <c r="L54">
        <v>104.56682236100001</v>
      </c>
      <c r="M54">
        <v>28.9</v>
      </c>
      <c r="N54">
        <v>47.5</v>
      </c>
    </row>
    <row r="55" spans="1:14" x14ac:dyDescent="0.2">
      <c r="A55" t="s">
        <v>759</v>
      </c>
      <c r="B55">
        <v>642086</v>
      </c>
      <c r="C55">
        <v>2026</v>
      </c>
      <c r="D55">
        <v>6</v>
      </c>
      <c r="E55">
        <v>13.7</v>
      </c>
      <c r="F55">
        <v>6.9</v>
      </c>
      <c r="G55">
        <v>68.7</v>
      </c>
      <c r="H55">
        <v>87.8</v>
      </c>
      <c r="I55">
        <v>13.2</v>
      </c>
      <c r="J55">
        <v>32.799999999999997</v>
      </c>
      <c r="K55">
        <v>6.1</v>
      </c>
      <c r="L55">
        <v>98.353451888999999</v>
      </c>
      <c r="M55">
        <v>20</v>
      </c>
      <c r="N55">
        <v>49.6</v>
      </c>
    </row>
    <row r="56" spans="1:14" x14ac:dyDescent="0.2">
      <c r="A56" t="s">
        <v>760</v>
      </c>
      <c r="B56">
        <v>656811</v>
      </c>
      <c r="C56">
        <v>2026</v>
      </c>
      <c r="D56">
        <v>16</v>
      </c>
      <c r="E56">
        <v>21.8</v>
      </c>
      <c r="F56">
        <v>7.7</v>
      </c>
      <c r="G56">
        <v>70.8</v>
      </c>
      <c r="H56">
        <v>89.7</v>
      </c>
      <c r="I56">
        <v>13.7</v>
      </c>
      <c r="J56">
        <v>35.9</v>
      </c>
      <c r="K56">
        <v>8.1</v>
      </c>
      <c r="L56">
        <v>99.634635641000003</v>
      </c>
      <c r="M56">
        <v>21.5</v>
      </c>
      <c r="N56">
        <v>46.7</v>
      </c>
    </row>
    <row r="57" spans="1:14" x14ac:dyDescent="0.2">
      <c r="A57" t="s">
        <v>761</v>
      </c>
      <c r="B57">
        <v>663656</v>
      </c>
      <c r="C57">
        <v>2026</v>
      </c>
      <c r="D57">
        <v>7</v>
      </c>
      <c r="E57">
        <v>19.899999999999999</v>
      </c>
      <c r="F57">
        <v>12.6</v>
      </c>
      <c r="G57">
        <v>71.3</v>
      </c>
      <c r="H57">
        <v>89</v>
      </c>
      <c r="I57">
        <v>16.3</v>
      </c>
      <c r="J57">
        <v>34.9</v>
      </c>
      <c r="K57">
        <v>5.9</v>
      </c>
      <c r="L57">
        <v>98.648094960999998</v>
      </c>
      <c r="M57">
        <v>22.9</v>
      </c>
      <c r="N57">
        <v>48.6</v>
      </c>
    </row>
    <row r="58" spans="1:14" x14ac:dyDescent="0.2">
      <c r="A58" t="s">
        <v>762</v>
      </c>
      <c r="B58">
        <v>682877</v>
      </c>
      <c r="C58">
        <v>2026</v>
      </c>
      <c r="D58">
        <v>0</v>
      </c>
      <c r="E58">
        <v>30.4</v>
      </c>
      <c r="F58">
        <v>7.1</v>
      </c>
      <c r="G58">
        <v>68.599999999999994</v>
      </c>
      <c r="H58">
        <v>84.3</v>
      </c>
      <c r="I58">
        <v>14.2</v>
      </c>
      <c r="J58">
        <v>29.4</v>
      </c>
      <c r="K58">
        <v>2.9</v>
      </c>
      <c r="L58">
        <v>97.150075881999996</v>
      </c>
      <c r="M58">
        <v>32.5</v>
      </c>
      <c r="N58">
        <v>48.5</v>
      </c>
    </row>
    <row r="59" spans="1:14" x14ac:dyDescent="0.2">
      <c r="A59" t="s">
        <v>763</v>
      </c>
      <c r="B59">
        <v>687859</v>
      </c>
      <c r="C59">
        <v>2026</v>
      </c>
      <c r="D59">
        <v>3</v>
      </c>
      <c r="E59">
        <v>16.899999999999999</v>
      </c>
      <c r="F59">
        <v>9.1999999999999993</v>
      </c>
      <c r="G59">
        <v>70</v>
      </c>
      <c r="H59">
        <v>89.6</v>
      </c>
      <c r="I59">
        <v>13.6</v>
      </c>
      <c r="J59">
        <v>40.1</v>
      </c>
      <c r="K59">
        <v>2.2000000000000002</v>
      </c>
      <c r="L59">
        <v>98.701916757000006</v>
      </c>
      <c r="M59">
        <v>22.7</v>
      </c>
      <c r="N59">
        <v>51</v>
      </c>
    </row>
    <row r="60" spans="1:14" x14ac:dyDescent="0.2">
      <c r="A60" t="s">
        <v>764</v>
      </c>
      <c r="B60">
        <v>672284</v>
      </c>
      <c r="C60">
        <v>2026</v>
      </c>
      <c r="D60">
        <v>1</v>
      </c>
      <c r="E60">
        <v>36.200000000000003</v>
      </c>
      <c r="F60">
        <v>11.6</v>
      </c>
      <c r="G60">
        <v>73.5</v>
      </c>
      <c r="H60">
        <v>93.8</v>
      </c>
      <c r="I60">
        <v>14.5</v>
      </c>
      <c r="J60">
        <v>38.9</v>
      </c>
      <c r="K60">
        <v>22.2</v>
      </c>
      <c r="L60">
        <v>103.084808889</v>
      </c>
      <c r="M60">
        <v>39.200000000000003</v>
      </c>
      <c r="N60">
        <v>46</v>
      </c>
    </row>
    <row r="61" spans="1:14" x14ac:dyDescent="0.2">
      <c r="A61" t="s">
        <v>765</v>
      </c>
      <c r="B61">
        <v>663886</v>
      </c>
      <c r="C61">
        <v>2026</v>
      </c>
      <c r="D61">
        <v>6</v>
      </c>
      <c r="E61">
        <v>24.5</v>
      </c>
      <c r="F61">
        <v>10.9</v>
      </c>
      <c r="G61">
        <v>71.099999999999994</v>
      </c>
      <c r="H61">
        <v>90.5</v>
      </c>
      <c r="I61">
        <v>18.3</v>
      </c>
      <c r="J61">
        <v>40.4</v>
      </c>
      <c r="K61">
        <v>9.9</v>
      </c>
      <c r="L61">
        <v>100.130244691</v>
      </c>
      <c r="M61">
        <v>25.6</v>
      </c>
      <c r="N61">
        <v>44.6</v>
      </c>
    </row>
    <row r="62" spans="1:14" x14ac:dyDescent="0.2">
      <c r="A62" t="s">
        <v>766</v>
      </c>
      <c r="B62">
        <v>592663</v>
      </c>
      <c r="C62">
        <v>2026</v>
      </c>
      <c r="D62">
        <v>7</v>
      </c>
      <c r="E62">
        <v>20.6</v>
      </c>
      <c r="F62">
        <v>7.4</v>
      </c>
      <c r="G62">
        <v>73.099999999999994</v>
      </c>
      <c r="H62">
        <v>89.2</v>
      </c>
      <c r="I62">
        <v>11.6</v>
      </c>
      <c r="J62">
        <v>33.9</v>
      </c>
      <c r="K62">
        <v>5.0999999999999996</v>
      </c>
      <c r="L62">
        <v>98.873349773000001</v>
      </c>
      <c r="M62">
        <v>24.3</v>
      </c>
      <c r="N62">
        <v>47.6</v>
      </c>
    </row>
    <row r="63" spans="1:14" x14ac:dyDescent="0.2">
      <c r="A63" t="s">
        <v>767</v>
      </c>
      <c r="B63">
        <v>664023</v>
      </c>
      <c r="C63">
        <v>2026</v>
      </c>
      <c r="D63">
        <v>17</v>
      </c>
      <c r="E63">
        <v>31.5</v>
      </c>
      <c r="F63">
        <v>12.6</v>
      </c>
      <c r="G63">
        <v>72.2</v>
      </c>
      <c r="H63">
        <v>89.6</v>
      </c>
      <c r="I63">
        <v>15.8</v>
      </c>
      <c r="J63">
        <v>33.200000000000003</v>
      </c>
      <c r="K63">
        <v>12.4</v>
      </c>
      <c r="L63">
        <v>101.175298807</v>
      </c>
      <c r="M63">
        <v>32.1</v>
      </c>
      <c r="N63">
        <v>44.5</v>
      </c>
    </row>
    <row r="64" spans="1:14" x14ac:dyDescent="0.2">
      <c r="A64" t="s">
        <v>768</v>
      </c>
      <c r="B64">
        <v>691720</v>
      </c>
      <c r="C64">
        <v>2026</v>
      </c>
      <c r="D64">
        <v>9</v>
      </c>
      <c r="E64">
        <v>21.1</v>
      </c>
      <c r="F64">
        <v>12.4</v>
      </c>
      <c r="G64">
        <v>70.400000000000006</v>
      </c>
      <c r="H64">
        <v>89.8</v>
      </c>
      <c r="I64">
        <v>13</v>
      </c>
      <c r="J64">
        <v>41.5</v>
      </c>
      <c r="K64">
        <v>8.5</v>
      </c>
      <c r="L64">
        <v>100.57553518899999</v>
      </c>
      <c r="M64">
        <v>24.7</v>
      </c>
      <c r="N64">
        <v>44.3</v>
      </c>
    </row>
    <row r="65" spans="1:14" x14ac:dyDescent="0.2">
      <c r="A65" t="s">
        <v>769</v>
      </c>
      <c r="B65">
        <v>608369</v>
      </c>
      <c r="C65">
        <v>2026</v>
      </c>
      <c r="D65">
        <v>10</v>
      </c>
      <c r="E65">
        <v>26.9</v>
      </c>
      <c r="F65">
        <v>12.8</v>
      </c>
      <c r="G65">
        <v>71.8</v>
      </c>
      <c r="H65">
        <v>91.1</v>
      </c>
      <c r="I65">
        <v>11.8</v>
      </c>
      <c r="J65">
        <v>33.1</v>
      </c>
      <c r="K65">
        <v>15.4</v>
      </c>
      <c r="L65">
        <v>101.89141338500001</v>
      </c>
      <c r="M65">
        <v>34.9</v>
      </c>
      <c r="N65">
        <v>50.4</v>
      </c>
    </row>
    <row r="66" spans="1:14" x14ac:dyDescent="0.2">
      <c r="A66" t="s">
        <v>770</v>
      </c>
      <c r="B66">
        <v>596103</v>
      </c>
      <c r="C66">
        <v>2026</v>
      </c>
      <c r="D66">
        <v>0</v>
      </c>
      <c r="E66">
        <v>28.4</v>
      </c>
      <c r="F66">
        <v>10.8</v>
      </c>
      <c r="G66">
        <v>71.099999999999994</v>
      </c>
      <c r="H66">
        <v>85</v>
      </c>
      <c r="I66">
        <v>4.8</v>
      </c>
      <c r="J66">
        <v>26.7</v>
      </c>
      <c r="K66">
        <v>2.2999999999999998</v>
      </c>
      <c r="L66">
        <v>94.665360454999998</v>
      </c>
      <c r="M66">
        <v>27.9</v>
      </c>
      <c r="N66">
        <v>46.6</v>
      </c>
    </row>
    <row r="67" spans="1:14" x14ac:dyDescent="0.2">
      <c r="A67" t="s">
        <v>771</v>
      </c>
      <c r="B67">
        <v>672640</v>
      </c>
      <c r="C67">
        <v>2026</v>
      </c>
      <c r="D67">
        <v>9</v>
      </c>
      <c r="E67">
        <v>14.1</v>
      </c>
      <c r="F67">
        <v>4.9000000000000004</v>
      </c>
      <c r="G67">
        <v>72.099999999999994</v>
      </c>
      <c r="H67">
        <v>89.4</v>
      </c>
      <c r="I67">
        <v>8.3000000000000007</v>
      </c>
      <c r="J67">
        <v>31.4</v>
      </c>
      <c r="K67">
        <v>7</v>
      </c>
      <c r="L67">
        <v>100.832489568</v>
      </c>
      <c r="M67">
        <v>20.6</v>
      </c>
      <c r="N67">
        <v>46.8</v>
      </c>
    </row>
    <row r="68" spans="1:14" x14ac:dyDescent="0.2">
      <c r="A68" t="s">
        <v>772</v>
      </c>
      <c r="B68">
        <v>685133</v>
      </c>
      <c r="C68">
        <v>2026</v>
      </c>
      <c r="D68">
        <v>2</v>
      </c>
      <c r="E68">
        <v>22</v>
      </c>
      <c r="F68">
        <v>9.9</v>
      </c>
      <c r="G68">
        <v>68.599999999999994</v>
      </c>
      <c r="H68">
        <v>86.7</v>
      </c>
      <c r="I68">
        <v>7.7</v>
      </c>
      <c r="J68">
        <v>43.8</v>
      </c>
      <c r="K68">
        <v>5.2</v>
      </c>
      <c r="L68">
        <v>96.740200208000005</v>
      </c>
      <c r="M68">
        <v>24.6</v>
      </c>
      <c r="N68">
        <v>46.1</v>
      </c>
    </row>
    <row r="69" spans="1:14" x14ac:dyDescent="0.2">
      <c r="A69" t="s">
        <v>773</v>
      </c>
      <c r="B69">
        <v>641598</v>
      </c>
      <c r="C69">
        <v>2026</v>
      </c>
      <c r="D69">
        <v>4</v>
      </c>
      <c r="E69">
        <v>31.5</v>
      </c>
      <c r="F69">
        <v>15.4</v>
      </c>
      <c r="G69">
        <v>72.5</v>
      </c>
      <c r="H69">
        <v>90.2</v>
      </c>
      <c r="I69">
        <v>17.3</v>
      </c>
      <c r="J69">
        <v>26.5</v>
      </c>
      <c r="K69">
        <v>7.4</v>
      </c>
      <c r="L69">
        <v>100.899581176</v>
      </c>
      <c r="M69">
        <v>34.700000000000003</v>
      </c>
      <c r="N69">
        <v>41.1</v>
      </c>
    </row>
    <row r="70" spans="1:14" x14ac:dyDescent="0.2">
      <c r="A70" t="s">
        <v>774</v>
      </c>
      <c r="B70">
        <v>518692</v>
      </c>
      <c r="C70">
        <v>2026</v>
      </c>
      <c r="D70">
        <v>15</v>
      </c>
      <c r="E70">
        <v>15.9</v>
      </c>
      <c r="F70">
        <v>11.5</v>
      </c>
      <c r="G70">
        <v>70.5</v>
      </c>
      <c r="H70">
        <v>90.5</v>
      </c>
      <c r="I70">
        <v>13.1</v>
      </c>
      <c r="J70">
        <v>36.5</v>
      </c>
      <c r="K70">
        <v>10.6</v>
      </c>
      <c r="L70">
        <v>100.88921659899999</v>
      </c>
      <c r="M70">
        <v>21.2</v>
      </c>
      <c r="N70">
        <v>50</v>
      </c>
    </row>
    <row r="71" spans="1:14" x14ac:dyDescent="0.2">
      <c r="A71" t="s">
        <v>775</v>
      </c>
      <c r="B71">
        <v>518595</v>
      </c>
      <c r="C71">
        <v>2026</v>
      </c>
      <c r="D71">
        <v>1</v>
      </c>
      <c r="E71">
        <v>17.5</v>
      </c>
      <c r="F71">
        <v>7.5</v>
      </c>
      <c r="G71">
        <v>70.8</v>
      </c>
      <c r="H71">
        <v>87.7</v>
      </c>
      <c r="I71">
        <v>14.2</v>
      </c>
      <c r="J71">
        <v>39.299999999999997</v>
      </c>
      <c r="K71">
        <v>14.3</v>
      </c>
      <c r="L71">
        <v>97.599345713999995</v>
      </c>
      <c r="M71">
        <v>27.5</v>
      </c>
      <c r="N71">
        <v>48.9</v>
      </c>
    </row>
    <row r="72" spans="1:14" x14ac:dyDescent="0.2">
      <c r="A72" t="s">
        <v>776</v>
      </c>
      <c r="B72">
        <v>670764</v>
      </c>
      <c r="C72">
        <v>2026</v>
      </c>
      <c r="D72">
        <v>0</v>
      </c>
      <c r="E72">
        <v>25.1</v>
      </c>
      <c r="F72">
        <v>11.6</v>
      </c>
      <c r="G72">
        <v>68.2</v>
      </c>
      <c r="H72">
        <v>85.1</v>
      </c>
      <c r="I72">
        <v>20.2</v>
      </c>
      <c r="J72">
        <v>32.9</v>
      </c>
      <c r="K72">
        <v>3</v>
      </c>
      <c r="L72">
        <v>94.850408420999997</v>
      </c>
      <c r="M72">
        <v>23</v>
      </c>
      <c r="N72">
        <v>43</v>
      </c>
    </row>
    <row r="73" spans="1:14" x14ac:dyDescent="0.2">
      <c r="A73" t="s">
        <v>777</v>
      </c>
      <c r="B73">
        <v>666397</v>
      </c>
      <c r="C73">
        <v>2026</v>
      </c>
      <c r="D73">
        <v>3</v>
      </c>
      <c r="E73">
        <v>25.9</v>
      </c>
      <c r="F73">
        <v>13.8</v>
      </c>
      <c r="G73">
        <v>71.5</v>
      </c>
      <c r="H73">
        <v>91.3</v>
      </c>
      <c r="I73">
        <v>7.9</v>
      </c>
      <c r="J73">
        <v>43.2</v>
      </c>
      <c r="K73">
        <v>6.8</v>
      </c>
      <c r="L73">
        <v>100.125495946</v>
      </c>
      <c r="M73">
        <v>23.3</v>
      </c>
      <c r="N73">
        <v>40.700000000000003</v>
      </c>
    </row>
    <row r="74" spans="1:14" x14ac:dyDescent="0.2">
      <c r="A74" t="s">
        <v>778</v>
      </c>
      <c r="B74">
        <v>686668</v>
      </c>
      <c r="C74">
        <v>2026</v>
      </c>
      <c r="D74">
        <v>1</v>
      </c>
      <c r="E74">
        <v>32.799999999999997</v>
      </c>
      <c r="F74">
        <v>9</v>
      </c>
      <c r="G74">
        <v>71.900000000000006</v>
      </c>
      <c r="H74">
        <v>87.8</v>
      </c>
      <c r="I74">
        <v>6.7</v>
      </c>
      <c r="J74">
        <v>25.4</v>
      </c>
      <c r="K74">
        <v>5.9</v>
      </c>
      <c r="L74">
        <v>99.149070882000004</v>
      </c>
      <c r="M74">
        <v>32.200000000000003</v>
      </c>
      <c r="N74">
        <v>53.4</v>
      </c>
    </row>
    <row r="75" spans="1:14" x14ac:dyDescent="0.2">
      <c r="A75" t="s">
        <v>779</v>
      </c>
      <c r="B75">
        <v>664770</v>
      </c>
      <c r="C75">
        <v>2026</v>
      </c>
      <c r="D75">
        <v>5</v>
      </c>
      <c r="E75">
        <v>14.6</v>
      </c>
      <c r="F75">
        <v>5.5</v>
      </c>
      <c r="G75">
        <v>67.400000000000006</v>
      </c>
      <c r="H75">
        <v>86.7</v>
      </c>
      <c r="I75">
        <v>11.6</v>
      </c>
      <c r="J75">
        <v>29.4</v>
      </c>
      <c r="K75">
        <v>1.2</v>
      </c>
      <c r="L75">
        <v>96.621426627000005</v>
      </c>
      <c r="M75">
        <v>18</v>
      </c>
      <c r="N75">
        <v>49.5</v>
      </c>
    </row>
    <row r="76" spans="1:14" x14ac:dyDescent="0.2">
      <c r="A76" t="s">
        <v>780</v>
      </c>
      <c r="B76">
        <v>656716</v>
      </c>
      <c r="C76">
        <v>2026</v>
      </c>
      <c r="D76">
        <v>4</v>
      </c>
      <c r="E76">
        <v>16.899999999999999</v>
      </c>
      <c r="F76">
        <v>10.1</v>
      </c>
      <c r="G76">
        <v>68.7</v>
      </c>
      <c r="H76">
        <v>84.6</v>
      </c>
      <c r="I76">
        <v>13.7</v>
      </c>
      <c r="J76">
        <v>35.4</v>
      </c>
      <c r="K76">
        <v>2.8</v>
      </c>
      <c r="L76">
        <v>94.663973033999994</v>
      </c>
      <c r="M76">
        <v>16.5</v>
      </c>
      <c r="N76">
        <v>48.9</v>
      </c>
    </row>
    <row r="77" spans="1:14" x14ac:dyDescent="0.2">
      <c r="A77" t="s">
        <v>781</v>
      </c>
      <c r="B77">
        <v>545121</v>
      </c>
      <c r="C77">
        <v>2026</v>
      </c>
      <c r="D77">
        <v>7</v>
      </c>
      <c r="E77">
        <v>9.6999999999999993</v>
      </c>
      <c r="F77">
        <v>5.3</v>
      </c>
      <c r="G77">
        <v>70.8</v>
      </c>
      <c r="H77">
        <v>87.3</v>
      </c>
      <c r="I77">
        <v>10.1</v>
      </c>
      <c r="J77">
        <v>30.2</v>
      </c>
      <c r="K77">
        <v>3.6</v>
      </c>
      <c r="L77">
        <v>97.950887742000006</v>
      </c>
      <c r="M77">
        <v>14.5</v>
      </c>
      <c r="N77">
        <v>49.4</v>
      </c>
    </row>
    <row r="78" spans="1:14" x14ac:dyDescent="0.2">
      <c r="A78" t="s">
        <v>782</v>
      </c>
      <c r="B78">
        <v>696100</v>
      </c>
      <c r="C78">
        <v>2026</v>
      </c>
      <c r="D78">
        <v>27</v>
      </c>
      <c r="E78">
        <v>32.200000000000003</v>
      </c>
      <c r="F78">
        <v>8.5</v>
      </c>
      <c r="G78">
        <v>75.3</v>
      </c>
      <c r="H78">
        <v>91.2</v>
      </c>
      <c r="I78">
        <v>18</v>
      </c>
      <c r="J78">
        <v>34.200000000000003</v>
      </c>
      <c r="K78">
        <v>16.600000000000001</v>
      </c>
      <c r="L78">
        <v>103.073521927</v>
      </c>
      <c r="M78">
        <v>34.5</v>
      </c>
      <c r="N78">
        <v>54.1</v>
      </c>
    </row>
    <row r="79" spans="1:14" x14ac:dyDescent="0.2">
      <c r="A79" t="s">
        <v>783</v>
      </c>
      <c r="B79">
        <v>681082</v>
      </c>
      <c r="C79">
        <v>2026</v>
      </c>
      <c r="D79">
        <v>7</v>
      </c>
      <c r="E79">
        <v>17.3</v>
      </c>
      <c r="F79">
        <v>7.4</v>
      </c>
      <c r="G79">
        <v>70</v>
      </c>
      <c r="H79">
        <v>89.1</v>
      </c>
      <c r="I79">
        <v>15.2</v>
      </c>
      <c r="J79">
        <v>33.299999999999997</v>
      </c>
      <c r="K79">
        <v>6.8</v>
      </c>
      <c r="L79">
        <v>98.879388625999994</v>
      </c>
      <c r="M79">
        <v>17.899999999999999</v>
      </c>
      <c r="N79">
        <v>43.5</v>
      </c>
    </row>
    <row r="80" spans="1:14" x14ac:dyDescent="0.2">
      <c r="A80" t="s">
        <v>784</v>
      </c>
      <c r="B80">
        <v>665561</v>
      </c>
      <c r="C80">
        <v>2026</v>
      </c>
      <c r="D80">
        <v>2</v>
      </c>
      <c r="E80">
        <v>15.7</v>
      </c>
      <c r="F80">
        <v>2.2000000000000002</v>
      </c>
      <c r="G80">
        <v>66</v>
      </c>
      <c r="H80">
        <v>83.2</v>
      </c>
      <c r="I80">
        <v>24.8</v>
      </c>
      <c r="J80">
        <v>32.4</v>
      </c>
      <c r="K80">
        <v>2.8</v>
      </c>
      <c r="L80">
        <v>93.370161944000003</v>
      </c>
      <c r="M80">
        <v>16.600000000000001</v>
      </c>
      <c r="N80">
        <v>49.4</v>
      </c>
    </row>
    <row r="81" spans="1:14" x14ac:dyDescent="0.2">
      <c r="A81" t="s">
        <v>785</v>
      </c>
      <c r="B81">
        <v>694362</v>
      </c>
      <c r="C81">
        <v>2026</v>
      </c>
      <c r="D81">
        <v>2</v>
      </c>
      <c r="E81">
        <v>21.3</v>
      </c>
      <c r="F81">
        <v>6.5</v>
      </c>
      <c r="G81">
        <v>71.900000000000006</v>
      </c>
      <c r="H81">
        <v>89.2</v>
      </c>
      <c r="I81">
        <v>14.6</v>
      </c>
      <c r="J81">
        <v>34.5</v>
      </c>
      <c r="K81">
        <v>2.9</v>
      </c>
      <c r="L81">
        <v>99.241998366999994</v>
      </c>
      <c r="M81">
        <v>23.3</v>
      </c>
      <c r="N81">
        <v>46.8</v>
      </c>
    </row>
    <row r="82" spans="1:14" x14ac:dyDescent="0.2">
      <c r="A82" t="s">
        <v>786</v>
      </c>
      <c r="B82">
        <v>680779</v>
      </c>
      <c r="C82">
        <v>2026</v>
      </c>
      <c r="D82">
        <v>8</v>
      </c>
      <c r="E82">
        <v>20.2</v>
      </c>
      <c r="F82">
        <v>9.6</v>
      </c>
      <c r="G82">
        <v>74.5</v>
      </c>
      <c r="H82">
        <v>89.5</v>
      </c>
      <c r="I82">
        <v>19.399999999999999</v>
      </c>
      <c r="J82">
        <v>26</v>
      </c>
      <c r="K82">
        <v>10.199999999999999</v>
      </c>
      <c r="L82">
        <v>100.481648871</v>
      </c>
      <c r="M82">
        <v>24</v>
      </c>
      <c r="N82">
        <v>53.1</v>
      </c>
    </row>
    <row r="83" spans="1:14" x14ac:dyDescent="0.2">
      <c r="A83" t="s">
        <v>787</v>
      </c>
      <c r="B83">
        <v>672012</v>
      </c>
      <c r="C83">
        <v>2026</v>
      </c>
      <c r="D83">
        <v>0</v>
      </c>
      <c r="E83">
        <v>25</v>
      </c>
      <c r="F83">
        <v>3.6</v>
      </c>
      <c r="G83">
        <v>71.599999999999994</v>
      </c>
      <c r="H83">
        <v>83.6</v>
      </c>
      <c r="I83">
        <v>12.6</v>
      </c>
      <c r="J83">
        <v>25</v>
      </c>
      <c r="K83">
        <v>0</v>
      </c>
      <c r="L83">
        <v>94.187515000000005</v>
      </c>
      <c r="M83">
        <v>23.1</v>
      </c>
      <c r="N83">
        <v>53.6</v>
      </c>
    </row>
    <row r="84" spans="1:14" x14ac:dyDescent="0.2">
      <c r="A84" t="s">
        <v>788</v>
      </c>
      <c r="B84">
        <v>665161</v>
      </c>
      <c r="C84">
        <v>2026</v>
      </c>
      <c r="D84">
        <v>6</v>
      </c>
      <c r="E84">
        <v>16.2</v>
      </c>
      <c r="F84">
        <v>6.9</v>
      </c>
      <c r="G84">
        <v>72.2</v>
      </c>
      <c r="H84">
        <v>87.5</v>
      </c>
      <c r="I84">
        <v>12.3</v>
      </c>
      <c r="J84">
        <v>31.5</v>
      </c>
      <c r="K84">
        <v>3.7</v>
      </c>
      <c r="L84">
        <v>99.376054198000006</v>
      </c>
      <c r="M84">
        <v>27.6</v>
      </c>
      <c r="N84">
        <v>53.7</v>
      </c>
    </row>
    <row r="85" spans="1:14" x14ac:dyDescent="0.2">
      <c r="A85" t="s">
        <v>789</v>
      </c>
      <c r="B85">
        <v>681297</v>
      </c>
      <c r="C85">
        <v>2026</v>
      </c>
      <c r="D85">
        <v>8</v>
      </c>
      <c r="E85">
        <v>30.7</v>
      </c>
      <c r="F85">
        <v>11.3</v>
      </c>
      <c r="G85">
        <v>74.900000000000006</v>
      </c>
      <c r="H85">
        <v>86.8</v>
      </c>
      <c r="I85">
        <v>13.2</v>
      </c>
      <c r="J85">
        <v>29.3</v>
      </c>
      <c r="K85">
        <v>11.3</v>
      </c>
      <c r="L85">
        <v>100.185032154</v>
      </c>
      <c r="M85">
        <v>34.1</v>
      </c>
      <c r="N85">
        <v>44.2</v>
      </c>
    </row>
    <row r="86" spans="1:14" x14ac:dyDescent="0.2">
      <c r="A86" t="s">
        <v>790</v>
      </c>
      <c r="B86">
        <v>673237</v>
      </c>
      <c r="C86">
        <v>2026</v>
      </c>
      <c r="D86">
        <v>6</v>
      </c>
      <c r="E86">
        <v>15.5</v>
      </c>
      <c r="F86">
        <v>3.4</v>
      </c>
      <c r="G86">
        <v>72.599999999999994</v>
      </c>
      <c r="H86">
        <v>87.7</v>
      </c>
      <c r="I86">
        <v>5.0999999999999996</v>
      </c>
      <c r="J86">
        <v>27.1</v>
      </c>
      <c r="K86">
        <v>5.7</v>
      </c>
      <c r="L86">
        <v>98.428289570999993</v>
      </c>
      <c r="M86">
        <v>22.4</v>
      </c>
      <c r="N86">
        <v>56.3</v>
      </c>
    </row>
    <row r="87" spans="1:14" x14ac:dyDescent="0.2">
      <c r="A87" t="s">
        <v>791</v>
      </c>
      <c r="B87">
        <v>650490</v>
      </c>
      <c r="C87">
        <v>2026</v>
      </c>
      <c r="D87">
        <v>13</v>
      </c>
      <c r="E87">
        <v>13.7</v>
      </c>
      <c r="F87">
        <v>9.4</v>
      </c>
      <c r="G87">
        <v>73.8</v>
      </c>
      <c r="H87">
        <v>91.1</v>
      </c>
      <c r="I87">
        <v>6</v>
      </c>
      <c r="J87">
        <v>29.6</v>
      </c>
      <c r="K87">
        <v>7.1</v>
      </c>
      <c r="L87">
        <v>102.835380884</v>
      </c>
      <c r="M87">
        <v>14.5</v>
      </c>
      <c r="N87">
        <v>46.2</v>
      </c>
    </row>
    <row r="88" spans="1:14" x14ac:dyDescent="0.2">
      <c r="A88" t="s">
        <v>792</v>
      </c>
      <c r="B88">
        <v>691023</v>
      </c>
      <c r="C88">
        <v>2026</v>
      </c>
      <c r="D88">
        <v>22</v>
      </c>
      <c r="E88">
        <v>24.8</v>
      </c>
      <c r="F88">
        <v>8.1</v>
      </c>
      <c r="G88">
        <v>79.2</v>
      </c>
      <c r="H88">
        <v>94.2</v>
      </c>
      <c r="I88">
        <v>11.5</v>
      </c>
      <c r="J88">
        <v>35.1</v>
      </c>
      <c r="K88">
        <v>14.1</v>
      </c>
      <c r="L88">
        <v>105.708336718</v>
      </c>
      <c r="M88">
        <v>31.1</v>
      </c>
      <c r="N88">
        <v>51.9</v>
      </c>
    </row>
    <row r="89" spans="1:14" x14ac:dyDescent="0.2">
      <c r="A89" t="s">
        <v>793</v>
      </c>
      <c r="B89">
        <v>806068</v>
      </c>
      <c r="C89">
        <v>2026</v>
      </c>
      <c r="D89">
        <v>7</v>
      </c>
      <c r="E89">
        <v>34.4</v>
      </c>
      <c r="F89">
        <v>8.1</v>
      </c>
      <c r="G89">
        <v>72.400000000000006</v>
      </c>
      <c r="H89">
        <v>87</v>
      </c>
      <c r="I89">
        <v>14.4</v>
      </c>
      <c r="J89">
        <v>36.700000000000003</v>
      </c>
      <c r="K89">
        <v>6.7</v>
      </c>
      <c r="L89">
        <v>97.350241818000001</v>
      </c>
      <c r="M89">
        <v>34.700000000000003</v>
      </c>
      <c r="N89">
        <v>50.5</v>
      </c>
    </row>
    <row r="90" spans="1:14" x14ac:dyDescent="0.2">
      <c r="A90" t="s">
        <v>794</v>
      </c>
      <c r="B90">
        <v>592626</v>
      </c>
      <c r="C90">
        <v>2026</v>
      </c>
      <c r="D90">
        <v>15</v>
      </c>
      <c r="E90">
        <v>22.4</v>
      </c>
      <c r="F90">
        <v>12.2</v>
      </c>
      <c r="G90">
        <v>72</v>
      </c>
      <c r="H90">
        <v>91.9</v>
      </c>
      <c r="I90">
        <v>14.6</v>
      </c>
      <c r="J90">
        <v>32.4</v>
      </c>
      <c r="K90">
        <v>11.2</v>
      </c>
      <c r="L90">
        <v>101.677538298</v>
      </c>
      <c r="M90">
        <v>29.6</v>
      </c>
      <c r="N90">
        <v>45.3</v>
      </c>
    </row>
    <row r="91" spans="1:14" x14ac:dyDescent="0.2">
      <c r="A91" t="s">
        <v>795</v>
      </c>
      <c r="B91">
        <v>682985</v>
      </c>
      <c r="C91">
        <v>2026</v>
      </c>
      <c r="D91">
        <v>13</v>
      </c>
      <c r="E91">
        <v>27</v>
      </c>
      <c r="F91">
        <v>12.8</v>
      </c>
      <c r="G91">
        <v>75.7</v>
      </c>
      <c r="H91">
        <v>91.4</v>
      </c>
      <c r="I91">
        <v>18.2</v>
      </c>
      <c r="J91">
        <v>38.1</v>
      </c>
      <c r="K91">
        <v>13.8</v>
      </c>
      <c r="L91">
        <v>102.9406615</v>
      </c>
      <c r="M91">
        <v>30.1</v>
      </c>
      <c r="N91">
        <v>45.7</v>
      </c>
    </row>
    <row r="92" spans="1:14" x14ac:dyDescent="0.2">
      <c r="A92" t="s">
        <v>796</v>
      </c>
      <c r="B92">
        <v>691373</v>
      </c>
      <c r="C92">
        <v>2026</v>
      </c>
      <c r="D92">
        <v>0</v>
      </c>
      <c r="E92">
        <v>27</v>
      </c>
      <c r="F92">
        <v>2.7</v>
      </c>
      <c r="G92">
        <v>74.2</v>
      </c>
      <c r="H92">
        <v>84.6</v>
      </c>
      <c r="I92">
        <v>12.7</v>
      </c>
      <c r="J92">
        <v>36</v>
      </c>
      <c r="K92">
        <v>4</v>
      </c>
      <c r="L92">
        <v>98.711569230999999</v>
      </c>
      <c r="M92">
        <v>30.1</v>
      </c>
      <c r="N92">
        <v>57.9</v>
      </c>
    </row>
    <row r="93" spans="1:14" x14ac:dyDescent="0.2">
      <c r="A93" t="s">
        <v>797</v>
      </c>
      <c r="B93">
        <v>686475</v>
      </c>
      <c r="C93">
        <v>2026</v>
      </c>
      <c r="D93">
        <v>2</v>
      </c>
      <c r="E93">
        <v>18.3</v>
      </c>
      <c r="F93">
        <v>6.7</v>
      </c>
      <c r="G93">
        <v>69.2</v>
      </c>
      <c r="H93">
        <v>84.5</v>
      </c>
      <c r="I93">
        <v>4.5</v>
      </c>
      <c r="J93">
        <v>33.299999999999997</v>
      </c>
      <c r="K93">
        <v>4.4000000000000004</v>
      </c>
      <c r="L93">
        <v>96.894802857000002</v>
      </c>
      <c r="M93">
        <v>24.6</v>
      </c>
      <c r="N93">
        <v>55.9</v>
      </c>
    </row>
    <row r="94" spans="1:14" x14ac:dyDescent="0.2">
      <c r="A94" t="s">
        <v>798</v>
      </c>
      <c r="B94">
        <v>514888</v>
      </c>
      <c r="C94">
        <v>2026</v>
      </c>
      <c r="D94">
        <v>11</v>
      </c>
      <c r="E94">
        <v>22.1</v>
      </c>
      <c r="F94">
        <v>9.1</v>
      </c>
      <c r="G94">
        <v>68.7</v>
      </c>
      <c r="H94">
        <v>85.8</v>
      </c>
      <c r="I94">
        <v>9.5</v>
      </c>
      <c r="J94">
        <v>34.1</v>
      </c>
      <c r="K94">
        <v>6.5</v>
      </c>
      <c r="L94">
        <v>97.375671131999994</v>
      </c>
      <c r="M94">
        <v>24.2</v>
      </c>
      <c r="N94">
        <v>47.2</v>
      </c>
    </row>
    <row r="95" spans="1:14" x14ac:dyDescent="0.2">
      <c r="A95" t="s">
        <v>799</v>
      </c>
      <c r="B95">
        <v>823550</v>
      </c>
      <c r="C95">
        <v>2026</v>
      </c>
      <c r="D95">
        <v>1</v>
      </c>
      <c r="E95">
        <v>16.3</v>
      </c>
      <c r="F95">
        <v>13.3</v>
      </c>
      <c r="G95">
        <v>71.900000000000006</v>
      </c>
      <c r="H95">
        <v>86.5</v>
      </c>
      <c r="I95">
        <v>14.9</v>
      </c>
      <c r="J95">
        <v>30.4</v>
      </c>
      <c r="K95">
        <v>5.8</v>
      </c>
      <c r="L95">
        <v>96.527309705999997</v>
      </c>
      <c r="M95">
        <v>22</v>
      </c>
      <c r="N95">
        <v>43.7</v>
      </c>
    </row>
    <row r="96" spans="1:14" x14ac:dyDescent="0.2">
      <c r="A96" t="s">
        <v>800</v>
      </c>
      <c r="B96">
        <v>811965</v>
      </c>
      <c r="C96">
        <v>2026</v>
      </c>
      <c r="D96">
        <v>0</v>
      </c>
      <c r="E96">
        <v>10.9</v>
      </c>
      <c r="F96">
        <v>0</v>
      </c>
      <c r="G96">
        <v>68.599999999999994</v>
      </c>
      <c r="H96">
        <v>88.4</v>
      </c>
      <c r="I96">
        <v>6.5</v>
      </c>
      <c r="J96">
        <v>30</v>
      </c>
      <c r="K96">
        <v>0</v>
      </c>
      <c r="L96">
        <v>98.7833215</v>
      </c>
      <c r="M96">
        <v>14.4</v>
      </c>
      <c r="N96">
        <v>52.9</v>
      </c>
    </row>
    <row r="97" spans="1:14" x14ac:dyDescent="0.2">
      <c r="A97" t="s">
        <v>801</v>
      </c>
      <c r="B97">
        <v>683227</v>
      </c>
      <c r="C97">
        <v>2026</v>
      </c>
      <c r="D97">
        <v>0</v>
      </c>
      <c r="E97">
        <v>27.8</v>
      </c>
      <c r="F97">
        <v>5.6</v>
      </c>
      <c r="G97">
        <v>65.599999999999994</v>
      </c>
      <c r="H97">
        <v>82.5</v>
      </c>
      <c r="I97">
        <v>4.3</v>
      </c>
      <c r="J97">
        <v>16.7</v>
      </c>
      <c r="K97">
        <v>0</v>
      </c>
      <c r="L97">
        <v>92.937246666999997</v>
      </c>
      <c r="M97">
        <v>26.7</v>
      </c>
      <c r="N97">
        <v>41.7</v>
      </c>
    </row>
    <row r="98" spans="1:14" x14ac:dyDescent="0.2">
      <c r="A98" t="s">
        <v>802</v>
      </c>
      <c r="B98">
        <v>692216</v>
      </c>
      <c r="C98">
        <v>2026</v>
      </c>
      <c r="D98">
        <v>1</v>
      </c>
      <c r="E98">
        <v>32</v>
      </c>
      <c r="F98">
        <v>8</v>
      </c>
      <c r="G98">
        <v>70.400000000000006</v>
      </c>
      <c r="H98">
        <v>92.8</v>
      </c>
      <c r="I98">
        <v>24.1</v>
      </c>
      <c r="J98">
        <v>14.3</v>
      </c>
      <c r="K98">
        <v>21.4</v>
      </c>
      <c r="L98">
        <v>101.151187143</v>
      </c>
      <c r="M98">
        <v>37.9</v>
      </c>
      <c r="N98">
        <v>53.7</v>
      </c>
    </row>
    <row r="99" spans="1:14" x14ac:dyDescent="0.2">
      <c r="A99" t="s">
        <v>803</v>
      </c>
      <c r="B99">
        <v>670242</v>
      </c>
      <c r="C99">
        <v>2026</v>
      </c>
      <c r="D99">
        <v>4</v>
      </c>
      <c r="E99">
        <v>39.299999999999997</v>
      </c>
      <c r="F99">
        <v>7.4</v>
      </c>
      <c r="G99">
        <v>75.3</v>
      </c>
      <c r="H99">
        <v>88.4</v>
      </c>
      <c r="I99">
        <v>8.1</v>
      </c>
      <c r="J99">
        <v>26.9</v>
      </c>
      <c r="K99">
        <v>10.4</v>
      </c>
      <c r="L99">
        <v>101.422806765</v>
      </c>
      <c r="M99">
        <v>44</v>
      </c>
      <c r="N99">
        <v>52.1</v>
      </c>
    </row>
    <row r="100" spans="1:14" x14ac:dyDescent="0.2">
      <c r="A100" t="s">
        <v>804</v>
      </c>
      <c r="B100">
        <v>663647</v>
      </c>
      <c r="C100">
        <v>2026</v>
      </c>
      <c r="D100">
        <v>2</v>
      </c>
      <c r="E100">
        <v>16.3</v>
      </c>
      <c r="F100">
        <v>5.9</v>
      </c>
      <c r="G100">
        <v>70.5</v>
      </c>
      <c r="H100">
        <v>90.6</v>
      </c>
      <c r="I100">
        <v>16.100000000000001</v>
      </c>
      <c r="J100">
        <v>38.5</v>
      </c>
      <c r="K100">
        <v>9</v>
      </c>
      <c r="L100">
        <v>99.599217999999993</v>
      </c>
      <c r="M100">
        <v>19.5</v>
      </c>
      <c r="N100">
        <v>43.7</v>
      </c>
    </row>
    <row r="101" spans="1:14" x14ac:dyDescent="0.2">
      <c r="A101" t="s">
        <v>805</v>
      </c>
      <c r="B101">
        <v>663853</v>
      </c>
      <c r="C101">
        <v>2026</v>
      </c>
      <c r="D101">
        <v>1</v>
      </c>
      <c r="E101">
        <v>32.6</v>
      </c>
      <c r="F101">
        <v>7</v>
      </c>
      <c r="G101">
        <v>71.599999999999994</v>
      </c>
      <c r="H101">
        <v>86.8</v>
      </c>
      <c r="I101">
        <v>-6.6</v>
      </c>
      <c r="J101">
        <v>32</v>
      </c>
      <c r="K101">
        <v>4</v>
      </c>
      <c r="L101">
        <v>98.603000769000005</v>
      </c>
      <c r="M101">
        <v>35.5</v>
      </c>
      <c r="N101">
        <v>51.1</v>
      </c>
    </row>
    <row r="102" spans="1:14" x14ac:dyDescent="0.2">
      <c r="A102" t="s">
        <v>806</v>
      </c>
      <c r="B102">
        <v>596117</v>
      </c>
      <c r="C102">
        <v>2026</v>
      </c>
      <c r="D102">
        <v>0</v>
      </c>
      <c r="E102">
        <v>18.8</v>
      </c>
      <c r="F102">
        <v>3.1</v>
      </c>
      <c r="G102">
        <v>68.099999999999994</v>
      </c>
      <c r="H102">
        <v>86.5</v>
      </c>
      <c r="I102">
        <v>10</v>
      </c>
      <c r="J102">
        <v>26.1</v>
      </c>
      <c r="K102">
        <v>0</v>
      </c>
      <c r="L102">
        <v>97.120027273000005</v>
      </c>
      <c r="M102">
        <v>19.7</v>
      </c>
      <c r="N102">
        <v>53.5</v>
      </c>
    </row>
    <row r="103" spans="1:14" x14ac:dyDescent="0.2">
      <c r="A103" t="s">
        <v>807</v>
      </c>
      <c r="B103">
        <v>693307</v>
      </c>
      <c r="C103">
        <v>2026</v>
      </c>
      <c r="D103">
        <v>19</v>
      </c>
      <c r="E103">
        <v>21.3</v>
      </c>
      <c r="F103">
        <v>6.4</v>
      </c>
      <c r="G103">
        <v>72</v>
      </c>
      <c r="H103">
        <v>89.7</v>
      </c>
      <c r="I103">
        <v>17.600000000000001</v>
      </c>
      <c r="J103">
        <v>41</v>
      </c>
      <c r="K103">
        <v>11.6</v>
      </c>
      <c r="L103">
        <v>101.16930856</v>
      </c>
      <c r="M103">
        <v>21.8</v>
      </c>
      <c r="N103">
        <v>48.6</v>
      </c>
    </row>
    <row r="104" spans="1:14" x14ac:dyDescent="0.2">
      <c r="A104" t="s">
        <v>808</v>
      </c>
      <c r="B104">
        <v>686555</v>
      </c>
      <c r="C104">
        <v>2026</v>
      </c>
      <c r="D104">
        <v>5</v>
      </c>
      <c r="E104">
        <v>22.9</v>
      </c>
      <c r="F104">
        <v>12.1</v>
      </c>
      <c r="G104">
        <v>73.599999999999994</v>
      </c>
      <c r="H104">
        <v>88.4</v>
      </c>
      <c r="I104">
        <v>16.5</v>
      </c>
      <c r="J104">
        <v>32.700000000000003</v>
      </c>
      <c r="K104">
        <v>6</v>
      </c>
      <c r="L104">
        <v>100.14643949000001</v>
      </c>
      <c r="M104">
        <v>21.3</v>
      </c>
      <c r="N104">
        <v>39.799999999999997</v>
      </c>
    </row>
    <row r="105" spans="1:14" x14ac:dyDescent="0.2">
      <c r="A105" t="s">
        <v>809</v>
      </c>
      <c r="B105">
        <v>666181</v>
      </c>
      <c r="C105">
        <v>2026</v>
      </c>
      <c r="D105">
        <v>3</v>
      </c>
      <c r="E105">
        <v>33.299999999999997</v>
      </c>
      <c r="F105">
        <v>14</v>
      </c>
      <c r="G105">
        <v>73.599999999999994</v>
      </c>
      <c r="H105">
        <v>91.1</v>
      </c>
      <c r="I105">
        <v>24.9</v>
      </c>
      <c r="J105">
        <v>32.799999999999997</v>
      </c>
      <c r="K105">
        <v>12.7</v>
      </c>
      <c r="L105">
        <v>100.247945926</v>
      </c>
      <c r="M105">
        <v>36.1</v>
      </c>
      <c r="N105">
        <v>43.4</v>
      </c>
    </row>
    <row r="106" spans="1:14" x14ac:dyDescent="0.2">
      <c r="A106" t="s">
        <v>810</v>
      </c>
      <c r="B106">
        <v>553869</v>
      </c>
      <c r="C106">
        <v>2026</v>
      </c>
      <c r="D106">
        <v>4</v>
      </c>
      <c r="E106">
        <v>18.3</v>
      </c>
      <c r="F106">
        <v>2.2000000000000002</v>
      </c>
      <c r="G106">
        <v>75.099999999999994</v>
      </c>
      <c r="H106">
        <v>86.2</v>
      </c>
      <c r="I106">
        <v>12.5</v>
      </c>
      <c r="J106">
        <v>33.799999999999997</v>
      </c>
      <c r="K106">
        <v>6.8</v>
      </c>
      <c r="L106">
        <v>99.886093783999996</v>
      </c>
      <c r="M106">
        <v>25.9</v>
      </c>
      <c r="N106">
        <v>58.3</v>
      </c>
    </row>
    <row r="107" spans="1:14" x14ac:dyDescent="0.2">
      <c r="A107" t="s">
        <v>811</v>
      </c>
      <c r="B107">
        <v>608348</v>
      </c>
      <c r="C107">
        <v>2026</v>
      </c>
      <c r="D107">
        <v>6</v>
      </c>
      <c r="E107">
        <v>16.7</v>
      </c>
      <c r="F107">
        <v>11.2</v>
      </c>
      <c r="G107">
        <v>71.099999999999994</v>
      </c>
      <c r="H107">
        <v>88.4</v>
      </c>
      <c r="I107">
        <v>10.7</v>
      </c>
      <c r="J107">
        <v>32</v>
      </c>
      <c r="K107">
        <v>6.7</v>
      </c>
      <c r="L107">
        <v>98.970799438</v>
      </c>
      <c r="M107">
        <v>20.9</v>
      </c>
      <c r="N107">
        <v>45.4</v>
      </c>
    </row>
    <row r="108" spans="1:14" x14ac:dyDescent="0.2">
      <c r="A108" t="s">
        <v>812</v>
      </c>
      <c r="B108">
        <v>680474</v>
      </c>
      <c r="C108">
        <v>2026</v>
      </c>
      <c r="D108">
        <v>2</v>
      </c>
      <c r="E108">
        <v>25</v>
      </c>
      <c r="F108">
        <v>16.2</v>
      </c>
      <c r="G108">
        <v>70.400000000000006</v>
      </c>
      <c r="H108">
        <v>88.6</v>
      </c>
      <c r="I108">
        <v>26.4</v>
      </c>
      <c r="J108">
        <v>37.799999999999997</v>
      </c>
      <c r="K108">
        <v>13.5</v>
      </c>
      <c r="L108">
        <v>98.993871175999999</v>
      </c>
      <c r="M108">
        <v>28.6</v>
      </c>
      <c r="N108">
        <v>40</v>
      </c>
    </row>
    <row r="109" spans="1:14" x14ac:dyDescent="0.2">
      <c r="A109" t="s">
        <v>813</v>
      </c>
      <c r="B109">
        <v>669221</v>
      </c>
      <c r="C109">
        <v>2026</v>
      </c>
      <c r="D109">
        <v>0</v>
      </c>
      <c r="E109">
        <v>42.9</v>
      </c>
      <c r="F109">
        <v>0</v>
      </c>
      <c r="G109">
        <v>67.400000000000006</v>
      </c>
      <c r="H109">
        <v>80.3</v>
      </c>
      <c r="I109">
        <v>1.9</v>
      </c>
      <c r="J109">
        <v>12.5</v>
      </c>
      <c r="K109">
        <v>0</v>
      </c>
      <c r="L109">
        <v>97.471187499999999</v>
      </c>
      <c r="M109">
        <v>45.8</v>
      </c>
      <c r="N109">
        <v>54.5</v>
      </c>
    </row>
    <row r="110" spans="1:14" x14ac:dyDescent="0.2">
      <c r="A110" t="s">
        <v>814</v>
      </c>
      <c r="B110">
        <v>699625</v>
      </c>
      <c r="C110">
        <v>2026</v>
      </c>
      <c r="D110">
        <v>2</v>
      </c>
      <c r="E110">
        <v>34.299999999999997</v>
      </c>
      <c r="F110">
        <v>8.6</v>
      </c>
      <c r="G110">
        <v>71.3</v>
      </c>
      <c r="H110">
        <v>91.3</v>
      </c>
      <c r="I110">
        <v>13.6</v>
      </c>
      <c r="J110">
        <v>40.5</v>
      </c>
      <c r="K110">
        <v>8.3000000000000007</v>
      </c>
      <c r="L110">
        <v>101.127550556</v>
      </c>
      <c r="M110">
        <v>35.9</v>
      </c>
      <c r="N110">
        <v>46.2</v>
      </c>
    </row>
    <row r="111" spans="1:14" x14ac:dyDescent="0.2">
      <c r="A111" t="s">
        <v>815</v>
      </c>
      <c r="B111">
        <v>690984</v>
      </c>
      <c r="C111">
        <v>2026</v>
      </c>
      <c r="D111">
        <v>0</v>
      </c>
      <c r="E111">
        <v>30.8</v>
      </c>
      <c r="F111">
        <v>3.1</v>
      </c>
      <c r="G111">
        <v>70.099999999999994</v>
      </c>
      <c r="H111">
        <v>86.4</v>
      </c>
      <c r="I111">
        <v>22.1</v>
      </c>
      <c r="J111">
        <v>41.9</v>
      </c>
      <c r="K111">
        <v>7</v>
      </c>
      <c r="L111">
        <v>97.659135000000006</v>
      </c>
      <c r="M111">
        <v>30.6</v>
      </c>
      <c r="N111">
        <v>57.5</v>
      </c>
    </row>
    <row r="112" spans="1:14" x14ac:dyDescent="0.2">
      <c r="A112" t="s">
        <v>816</v>
      </c>
      <c r="B112">
        <v>682657</v>
      </c>
      <c r="C112">
        <v>2026</v>
      </c>
      <c r="D112">
        <v>11</v>
      </c>
      <c r="E112">
        <v>21.8</v>
      </c>
      <c r="F112">
        <v>2.9</v>
      </c>
      <c r="G112">
        <v>71</v>
      </c>
      <c r="H112">
        <v>88</v>
      </c>
      <c r="I112">
        <v>14.3</v>
      </c>
      <c r="J112">
        <v>36</v>
      </c>
      <c r="K112">
        <v>7.9</v>
      </c>
      <c r="L112">
        <v>99.951819999999998</v>
      </c>
      <c r="M112">
        <v>19.2</v>
      </c>
      <c r="N112">
        <v>54.7</v>
      </c>
    </row>
    <row r="113" spans="1:14" x14ac:dyDescent="0.2">
      <c r="A113" t="s">
        <v>817</v>
      </c>
      <c r="B113">
        <v>624512</v>
      </c>
      <c r="C113">
        <v>2026</v>
      </c>
      <c r="D113">
        <v>0</v>
      </c>
      <c r="E113">
        <v>26.5</v>
      </c>
      <c r="F113">
        <v>5.9</v>
      </c>
      <c r="G113">
        <v>69.3</v>
      </c>
      <c r="H113">
        <v>74.3</v>
      </c>
      <c r="I113">
        <v>18.8</v>
      </c>
      <c r="J113">
        <v>33.299999999999997</v>
      </c>
      <c r="K113">
        <v>0</v>
      </c>
      <c r="L113">
        <v>87.906892999999997</v>
      </c>
      <c r="M113">
        <v>21.8</v>
      </c>
      <c r="N113">
        <v>50</v>
      </c>
    </row>
    <row r="114" spans="1:14" x14ac:dyDescent="0.2">
      <c r="A114" t="s">
        <v>818</v>
      </c>
      <c r="B114">
        <v>701538</v>
      </c>
      <c r="C114">
        <v>2026</v>
      </c>
      <c r="D114">
        <v>10</v>
      </c>
      <c r="E114">
        <v>25</v>
      </c>
      <c r="F114">
        <v>7.1</v>
      </c>
      <c r="G114">
        <v>73.400000000000006</v>
      </c>
      <c r="H114">
        <v>89.4</v>
      </c>
      <c r="I114">
        <v>12.9</v>
      </c>
      <c r="J114">
        <v>37</v>
      </c>
      <c r="K114">
        <v>9.1</v>
      </c>
      <c r="L114">
        <v>100.07903784600001</v>
      </c>
      <c r="M114">
        <v>27</v>
      </c>
      <c r="N114">
        <v>55</v>
      </c>
    </row>
    <row r="115" spans="1:14" x14ac:dyDescent="0.2">
      <c r="A115" t="s">
        <v>819</v>
      </c>
      <c r="B115">
        <v>672356</v>
      </c>
      <c r="C115">
        <v>2026</v>
      </c>
      <c r="D115">
        <v>5</v>
      </c>
      <c r="E115">
        <v>41.2</v>
      </c>
      <c r="F115">
        <v>5.2</v>
      </c>
      <c r="G115">
        <v>74.5</v>
      </c>
      <c r="H115">
        <v>92</v>
      </c>
      <c r="I115">
        <v>6.4</v>
      </c>
      <c r="J115">
        <v>36.5</v>
      </c>
      <c r="K115">
        <v>11.5</v>
      </c>
      <c r="L115">
        <v>103.409208077</v>
      </c>
      <c r="M115">
        <v>43.6</v>
      </c>
      <c r="N115">
        <v>49.7</v>
      </c>
    </row>
    <row r="116" spans="1:14" x14ac:dyDescent="0.2">
      <c r="A116" t="s">
        <v>820</v>
      </c>
      <c r="B116">
        <v>516782</v>
      </c>
      <c r="C116">
        <v>2026</v>
      </c>
      <c r="D116">
        <v>1</v>
      </c>
      <c r="E116">
        <v>27.2</v>
      </c>
      <c r="F116">
        <v>6.4</v>
      </c>
      <c r="G116">
        <v>72.599999999999994</v>
      </c>
      <c r="H116">
        <v>89.3</v>
      </c>
      <c r="I116">
        <v>6.3</v>
      </c>
      <c r="J116">
        <v>31.3</v>
      </c>
      <c r="K116">
        <v>11.3</v>
      </c>
      <c r="L116">
        <v>101.21535102599999</v>
      </c>
      <c r="M116">
        <v>28.6</v>
      </c>
      <c r="N116">
        <v>51.9</v>
      </c>
    </row>
    <row r="117" spans="1:14" x14ac:dyDescent="0.2">
      <c r="A117" t="s">
        <v>821</v>
      </c>
      <c r="B117">
        <v>686469</v>
      </c>
      <c r="C117">
        <v>2026</v>
      </c>
      <c r="D117">
        <v>6</v>
      </c>
      <c r="E117">
        <v>17.7</v>
      </c>
      <c r="F117">
        <v>11</v>
      </c>
      <c r="G117">
        <v>70.2</v>
      </c>
      <c r="H117">
        <v>88.6</v>
      </c>
      <c r="I117">
        <v>20.100000000000001</v>
      </c>
      <c r="J117">
        <v>36.299999999999997</v>
      </c>
      <c r="K117">
        <v>7.1</v>
      </c>
      <c r="L117">
        <v>99.037836952000006</v>
      </c>
      <c r="M117">
        <v>16.100000000000001</v>
      </c>
      <c r="N117">
        <v>45.4</v>
      </c>
    </row>
    <row r="118" spans="1:14" x14ac:dyDescent="0.2">
      <c r="A118" t="s">
        <v>822</v>
      </c>
      <c r="B118">
        <v>691740</v>
      </c>
      <c r="C118">
        <v>2026</v>
      </c>
      <c r="D118">
        <v>0</v>
      </c>
      <c r="E118">
        <v>23.5</v>
      </c>
      <c r="F118">
        <v>5.2</v>
      </c>
      <c r="G118">
        <v>68.900000000000006</v>
      </c>
      <c r="H118">
        <v>86.4</v>
      </c>
      <c r="I118">
        <v>16.8</v>
      </c>
      <c r="J118">
        <v>40</v>
      </c>
      <c r="K118">
        <v>5</v>
      </c>
      <c r="L118">
        <v>96.776667949</v>
      </c>
      <c r="M118">
        <v>25.3</v>
      </c>
      <c r="N118">
        <v>55.2</v>
      </c>
    </row>
    <row r="119" spans="1:14" x14ac:dyDescent="0.2">
      <c r="A119" t="s">
        <v>823</v>
      </c>
      <c r="B119">
        <v>694514</v>
      </c>
      <c r="C119">
        <v>2026</v>
      </c>
      <c r="D119">
        <v>2</v>
      </c>
      <c r="E119">
        <v>27.3</v>
      </c>
      <c r="F119">
        <v>6.5</v>
      </c>
      <c r="G119">
        <v>75.400000000000006</v>
      </c>
      <c r="H119">
        <v>86.6</v>
      </c>
      <c r="I119">
        <v>8</v>
      </c>
      <c r="J119">
        <v>31.3</v>
      </c>
      <c r="K119">
        <v>6.3</v>
      </c>
      <c r="L119">
        <v>100.340930417</v>
      </c>
      <c r="M119">
        <v>30.1</v>
      </c>
      <c r="N119">
        <v>50</v>
      </c>
    </row>
    <row r="120" spans="1:14" x14ac:dyDescent="0.2">
      <c r="A120" t="s">
        <v>824</v>
      </c>
      <c r="B120">
        <v>663538</v>
      </c>
      <c r="C120">
        <v>2026</v>
      </c>
      <c r="D120">
        <v>4</v>
      </c>
      <c r="E120">
        <v>7.9</v>
      </c>
      <c r="F120">
        <v>8.6</v>
      </c>
      <c r="G120">
        <v>68.400000000000006</v>
      </c>
      <c r="H120">
        <v>86</v>
      </c>
      <c r="I120">
        <v>13.3</v>
      </c>
      <c r="J120">
        <v>36.1</v>
      </c>
      <c r="K120">
        <v>0.9</v>
      </c>
      <c r="L120">
        <v>96.092990697999994</v>
      </c>
      <c r="M120">
        <v>11.4</v>
      </c>
      <c r="N120">
        <v>44.5</v>
      </c>
    </row>
    <row r="121" spans="1:14" x14ac:dyDescent="0.2">
      <c r="A121" t="s">
        <v>825</v>
      </c>
      <c r="B121">
        <v>694876</v>
      </c>
      <c r="C121">
        <v>2026</v>
      </c>
      <c r="D121">
        <v>0</v>
      </c>
      <c r="E121">
        <v>50</v>
      </c>
      <c r="F121">
        <v>12.5</v>
      </c>
      <c r="G121">
        <v>68.3</v>
      </c>
      <c r="H121">
        <v>90.9</v>
      </c>
      <c r="I121">
        <v>1.1000000000000001</v>
      </c>
      <c r="J121">
        <v>22.2</v>
      </c>
      <c r="K121">
        <v>0</v>
      </c>
      <c r="L121">
        <v>97.400353999999993</v>
      </c>
      <c r="M121">
        <v>21.7</v>
      </c>
      <c r="N121">
        <v>43.8</v>
      </c>
    </row>
    <row r="122" spans="1:14" x14ac:dyDescent="0.2">
      <c r="A122" t="s">
        <v>826</v>
      </c>
      <c r="B122">
        <v>682634</v>
      </c>
      <c r="C122">
        <v>2026</v>
      </c>
      <c r="D122">
        <v>0</v>
      </c>
      <c r="E122">
        <v>33.299999999999997</v>
      </c>
      <c r="F122">
        <v>5.6</v>
      </c>
      <c r="G122">
        <v>76.900000000000006</v>
      </c>
      <c r="H122">
        <v>89.5</v>
      </c>
      <c r="I122">
        <v>5.8</v>
      </c>
      <c r="J122">
        <v>54.5</v>
      </c>
      <c r="K122">
        <v>0</v>
      </c>
      <c r="L122">
        <v>94.757063333000005</v>
      </c>
      <c r="M122">
        <v>31</v>
      </c>
      <c r="N122">
        <v>38.200000000000003</v>
      </c>
    </row>
    <row r="123" spans="1:14" x14ac:dyDescent="0.2">
      <c r="A123" t="s">
        <v>827</v>
      </c>
      <c r="B123">
        <v>666023</v>
      </c>
      <c r="C123">
        <v>2026</v>
      </c>
      <c r="D123">
        <v>3</v>
      </c>
      <c r="E123">
        <v>19.8</v>
      </c>
      <c r="F123">
        <v>10.5</v>
      </c>
      <c r="G123">
        <v>69.900000000000006</v>
      </c>
      <c r="H123">
        <v>86.1</v>
      </c>
      <c r="I123">
        <v>15.5</v>
      </c>
      <c r="J123">
        <v>28.8</v>
      </c>
      <c r="K123">
        <v>2.7</v>
      </c>
      <c r="L123">
        <v>95.872795093999997</v>
      </c>
      <c r="M123">
        <v>24.2</v>
      </c>
      <c r="N123">
        <v>49.4</v>
      </c>
    </row>
    <row r="124" spans="1:14" x14ac:dyDescent="0.2">
      <c r="A124" t="s">
        <v>828</v>
      </c>
      <c r="B124">
        <v>683146</v>
      </c>
      <c r="C124">
        <v>2026</v>
      </c>
      <c r="D124">
        <v>4</v>
      </c>
      <c r="E124">
        <v>27.1</v>
      </c>
      <c r="F124">
        <v>9.1</v>
      </c>
      <c r="G124">
        <v>74.900000000000006</v>
      </c>
      <c r="H124">
        <v>89.5</v>
      </c>
      <c r="I124">
        <v>10.3</v>
      </c>
      <c r="J124">
        <v>36.6</v>
      </c>
      <c r="K124">
        <v>8.8000000000000007</v>
      </c>
      <c r="L124">
        <v>100.785851863</v>
      </c>
      <c r="M124">
        <v>28.8</v>
      </c>
      <c r="N124">
        <v>48</v>
      </c>
    </row>
    <row r="125" spans="1:14" x14ac:dyDescent="0.2">
      <c r="A125" t="s">
        <v>829</v>
      </c>
      <c r="B125">
        <v>665966</v>
      </c>
      <c r="C125">
        <v>2026</v>
      </c>
      <c r="D125">
        <v>2</v>
      </c>
      <c r="E125">
        <v>31.6</v>
      </c>
      <c r="F125">
        <v>6.9</v>
      </c>
      <c r="G125">
        <v>71.8</v>
      </c>
      <c r="H125">
        <v>91.4</v>
      </c>
      <c r="I125">
        <v>15.7</v>
      </c>
      <c r="J125">
        <v>39.4</v>
      </c>
      <c r="K125">
        <v>6.7</v>
      </c>
      <c r="L125">
        <v>99.786437599999999</v>
      </c>
      <c r="M125">
        <v>31.5</v>
      </c>
      <c r="N125">
        <v>53.5</v>
      </c>
    </row>
    <row r="126" spans="1:14" x14ac:dyDescent="0.2">
      <c r="A126" t="s">
        <v>830</v>
      </c>
      <c r="B126">
        <v>664761</v>
      </c>
      <c r="C126">
        <v>2026</v>
      </c>
      <c r="D126">
        <v>11</v>
      </c>
      <c r="E126">
        <v>15</v>
      </c>
      <c r="F126">
        <v>6.7</v>
      </c>
      <c r="G126">
        <v>70.599999999999994</v>
      </c>
      <c r="H126">
        <v>90.1</v>
      </c>
      <c r="I126">
        <v>9.3000000000000007</v>
      </c>
      <c r="J126">
        <v>33.4</v>
      </c>
      <c r="K126">
        <v>5.2</v>
      </c>
      <c r="L126">
        <v>99.785711188999997</v>
      </c>
      <c r="M126">
        <v>17.3</v>
      </c>
      <c r="N126">
        <v>45.8</v>
      </c>
    </row>
    <row r="127" spans="1:14" x14ac:dyDescent="0.2">
      <c r="A127" t="s">
        <v>831</v>
      </c>
      <c r="B127">
        <v>681546</v>
      </c>
      <c r="C127">
        <v>2026</v>
      </c>
      <c r="D127">
        <v>3</v>
      </c>
      <c r="E127">
        <v>42.6</v>
      </c>
      <c r="F127">
        <v>7.4</v>
      </c>
      <c r="G127">
        <v>72.099999999999994</v>
      </c>
      <c r="H127">
        <v>86.5</v>
      </c>
      <c r="I127">
        <v>16.399999999999999</v>
      </c>
      <c r="J127">
        <v>32.799999999999997</v>
      </c>
      <c r="K127">
        <v>7.5</v>
      </c>
      <c r="L127">
        <v>96.749487059000003</v>
      </c>
      <c r="M127">
        <v>42.8</v>
      </c>
      <c r="N127">
        <v>50.7</v>
      </c>
    </row>
    <row r="128" spans="1:14" x14ac:dyDescent="0.2">
      <c r="A128" t="s">
        <v>832</v>
      </c>
      <c r="B128">
        <v>676356</v>
      </c>
      <c r="C128">
        <v>2026</v>
      </c>
      <c r="D128">
        <v>5</v>
      </c>
      <c r="E128">
        <v>21</v>
      </c>
      <c r="F128">
        <v>5.0999999999999996</v>
      </c>
      <c r="G128">
        <v>73.8</v>
      </c>
      <c r="H128">
        <v>84.8</v>
      </c>
      <c r="I128">
        <v>16.100000000000001</v>
      </c>
      <c r="J128">
        <v>31.5</v>
      </c>
      <c r="K128">
        <v>3.8</v>
      </c>
      <c r="L128">
        <v>97.016623332999998</v>
      </c>
      <c r="M128">
        <v>28.3</v>
      </c>
      <c r="N128">
        <v>52.2</v>
      </c>
    </row>
    <row r="129" spans="1:14" x14ac:dyDescent="0.2">
      <c r="A129" t="s">
        <v>833</v>
      </c>
      <c r="B129">
        <v>678577</v>
      </c>
      <c r="C129">
        <v>2026</v>
      </c>
      <c r="D129">
        <v>2</v>
      </c>
      <c r="E129">
        <v>42.4</v>
      </c>
      <c r="F129">
        <v>3</v>
      </c>
      <c r="G129">
        <v>75.099999999999994</v>
      </c>
      <c r="H129">
        <v>90.1</v>
      </c>
      <c r="I129">
        <v>23.3</v>
      </c>
      <c r="J129">
        <v>33.299999999999997</v>
      </c>
      <c r="K129">
        <v>11.1</v>
      </c>
      <c r="L129">
        <v>101.318287778</v>
      </c>
      <c r="M129">
        <v>40</v>
      </c>
      <c r="N129">
        <v>50.4</v>
      </c>
    </row>
    <row r="130" spans="1:14" x14ac:dyDescent="0.2">
      <c r="A130" t="s">
        <v>834</v>
      </c>
      <c r="B130">
        <v>687093</v>
      </c>
      <c r="C130">
        <v>2026</v>
      </c>
      <c r="D130">
        <v>5</v>
      </c>
      <c r="E130">
        <v>14.2</v>
      </c>
      <c r="F130">
        <v>8.1</v>
      </c>
      <c r="G130">
        <v>71.599999999999994</v>
      </c>
      <c r="H130">
        <v>89.5</v>
      </c>
      <c r="I130">
        <v>13.8</v>
      </c>
      <c r="J130">
        <v>35.799999999999997</v>
      </c>
      <c r="K130">
        <v>6.3</v>
      </c>
      <c r="L130">
        <v>100.024560886</v>
      </c>
      <c r="M130">
        <v>19.899999999999999</v>
      </c>
      <c r="N130">
        <v>47.7</v>
      </c>
    </row>
    <row r="131" spans="1:14" x14ac:dyDescent="0.2">
      <c r="A131" t="s">
        <v>835</v>
      </c>
      <c r="B131">
        <v>683083</v>
      </c>
      <c r="C131">
        <v>2026</v>
      </c>
      <c r="D131">
        <v>1</v>
      </c>
      <c r="E131">
        <v>23.5</v>
      </c>
      <c r="F131">
        <v>10.8</v>
      </c>
      <c r="G131">
        <v>68.5</v>
      </c>
      <c r="H131">
        <v>84.7</v>
      </c>
      <c r="I131">
        <v>7.9</v>
      </c>
      <c r="J131">
        <v>31.5</v>
      </c>
      <c r="K131">
        <v>0.5</v>
      </c>
      <c r="L131">
        <v>94.691126154000003</v>
      </c>
      <c r="M131">
        <v>23</v>
      </c>
      <c r="N131">
        <v>47.3</v>
      </c>
    </row>
    <row r="132" spans="1:14" x14ac:dyDescent="0.2">
      <c r="A132" t="s">
        <v>836</v>
      </c>
      <c r="B132">
        <v>543807</v>
      </c>
      <c r="C132">
        <v>2026</v>
      </c>
      <c r="D132">
        <v>9</v>
      </c>
      <c r="E132">
        <v>20.100000000000001</v>
      </c>
      <c r="F132">
        <v>9.9</v>
      </c>
      <c r="G132">
        <v>72.8</v>
      </c>
      <c r="H132">
        <v>88.4</v>
      </c>
      <c r="I132">
        <v>13.1</v>
      </c>
      <c r="J132">
        <v>31.2</v>
      </c>
      <c r="K132">
        <v>8</v>
      </c>
      <c r="L132">
        <v>99.163593500000005</v>
      </c>
      <c r="M132">
        <v>23.3</v>
      </c>
      <c r="N132">
        <v>47.8</v>
      </c>
    </row>
    <row r="133" spans="1:14" x14ac:dyDescent="0.2">
      <c r="A133" t="s">
        <v>837</v>
      </c>
      <c r="B133">
        <v>669357</v>
      </c>
      <c r="C133">
        <v>2026</v>
      </c>
      <c r="D133">
        <v>7</v>
      </c>
      <c r="E133">
        <v>32.299999999999997</v>
      </c>
      <c r="F133">
        <v>10.9</v>
      </c>
      <c r="G133">
        <v>73.099999999999994</v>
      </c>
      <c r="H133">
        <v>89.3</v>
      </c>
      <c r="I133">
        <v>22.3</v>
      </c>
      <c r="J133">
        <v>34.6</v>
      </c>
      <c r="K133">
        <v>9.1999999999999993</v>
      </c>
      <c r="L133">
        <v>100.915263692</v>
      </c>
      <c r="M133">
        <v>38.9</v>
      </c>
      <c r="N133">
        <v>49.9</v>
      </c>
    </row>
    <row r="134" spans="1:14" x14ac:dyDescent="0.2">
      <c r="A134" t="s">
        <v>838</v>
      </c>
      <c r="B134">
        <v>668930</v>
      </c>
      <c r="C134">
        <v>2026</v>
      </c>
      <c r="D134">
        <v>14</v>
      </c>
      <c r="E134">
        <v>24.8</v>
      </c>
      <c r="F134">
        <v>13</v>
      </c>
      <c r="G134">
        <v>70</v>
      </c>
      <c r="H134">
        <v>90.9</v>
      </c>
      <c r="I134">
        <v>7.9</v>
      </c>
      <c r="J134">
        <v>38.200000000000003</v>
      </c>
      <c r="K134">
        <v>8.5</v>
      </c>
      <c r="L134">
        <v>100.693459531</v>
      </c>
      <c r="M134">
        <v>21.8</v>
      </c>
      <c r="N134">
        <v>42.7</v>
      </c>
    </row>
    <row r="135" spans="1:14" x14ac:dyDescent="0.2">
      <c r="A135" t="s">
        <v>839</v>
      </c>
      <c r="B135">
        <v>671286</v>
      </c>
      <c r="C135">
        <v>2026</v>
      </c>
      <c r="D135">
        <v>0</v>
      </c>
      <c r="E135">
        <v>36.4</v>
      </c>
      <c r="F135">
        <v>27.3</v>
      </c>
      <c r="G135">
        <v>74.8</v>
      </c>
      <c r="H135">
        <v>89.1</v>
      </c>
      <c r="I135">
        <v>13.8</v>
      </c>
      <c r="J135">
        <v>50</v>
      </c>
      <c r="K135">
        <v>0</v>
      </c>
      <c r="L135">
        <v>100.403695</v>
      </c>
      <c r="M135">
        <v>19.2</v>
      </c>
      <c r="N135">
        <v>47.3</v>
      </c>
    </row>
    <row r="136" spans="1:14" x14ac:dyDescent="0.2">
      <c r="A136" t="s">
        <v>840</v>
      </c>
      <c r="B136">
        <v>694374</v>
      </c>
      <c r="C136">
        <v>2026</v>
      </c>
      <c r="D136">
        <v>3</v>
      </c>
      <c r="E136">
        <v>22.2</v>
      </c>
      <c r="F136">
        <v>10.1</v>
      </c>
      <c r="G136">
        <v>74.3</v>
      </c>
      <c r="H136">
        <v>87.3</v>
      </c>
      <c r="I136">
        <v>6.5</v>
      </c>
      <c r="J136">
        <v>28.4</v>
      </c>
      <c r="K136">
        <v>6.2</v>
      </c>
      <c r="L136">
        <v>97.810837418999995</v>
      </c>
      <c r="M136">
        <v>26.1</v>
      </c>
      <c r="N136">
        <v>50.1</v>
      </c>
    </row>
    <row r="137" spans="1:14" x14ac:dyDescent="0.2">
      <c r="A137" t="s">
        <v>841</v>
      </c>
      <c r="B137">
        <v>643289</v>
      </c>
      <c r="C137">
        <v>2026</v>
      </c>
      <c r="D137">
        <v>10</v>
      </c>
      <c r="E137">
        <v>14.2</v>
      </c>
      <c r="F137">
        <v>6.7</v>
      </c>
      <c r="G137">
        <v>68.900000000000006</v>
      </c>
      <c r="H137">
        <v>86.3</v>
      </c>
      <c r="I137">
        <v>14.4</v>
      </c>
      <c r="J137">
        <v>35.700000000000003</v>
      </c>
      <c r="K137">
        <v>4.8</v>
      </c>
      <c r="L137">
        <v>96.852048957999997</v>
      </c>
      <c r="M137">
        <v>16.399999999999999</v>
      </c>
      <c r="N137">
        <v>51.9</v>
      </c>
    </row>
    <row r="138" spans="1:14" x14ac:dyDescent="0.2">
      <c r="A138" t="s">
        <v>842</v>
      </c>
      <c r="B138">
        <v>682928</v>
      </c>
      <c r="C138">
        <v>2026</v>
      </c>
      <c r="D138">
        <v>20</v>
      </c>
      <c r="E138">
        <v>21.5</v>
      </c>
      <c r="F138">
        <v>8.6</v>
      </c>
      <c r="G138">
        <v>72.8</v>
      </c>
      <c r="H138">
        <v>89.9</v>
      </c>
      <c r="I138">
        <v>18.7</v>
      </c>
      <c r="J138">
        <v>33.799999999999997</v>
      </c>
      <c r="K138">
        <v>9.8000000000000007</v>
      </c>
      <c r="L138">
        <v>100.278453008</v>
      </c>
      <c r="M138">
        <v>27.9</v>
      </c>
      <c r="N138">
        <v>51.1</v>
      </c>
    </row>
    <row r="139" spans="1:14" x14ac:dyDescent="0.2">
      <c r="A139" t="s">
        <v>843</v>
      </c>
      <c r="B139">
        <v>657656</v>
      </c>
      <c r="C139">
        <v>2026</v>
      </c>
      <c r="D139">
        <v>7</v>
      </c>
      <c r="E139">
        <v>31.6</v>
      </c>
      <c r="F139">
        <v>9.6999999999999993</v>
      </c>
      <c r="G139">
        <v>72.400000000000006</v>
      </c>
      <c r="H139">
        <v>88</v>
      </c>
      <c r="I139">
        <v>12.1</v>
      </c>
      <c r="J139">
        <v>37</v>
      </c>
      <c r="K139">
        <v>14.3</v>
      </c>
      <c r="L139">
        <v>99.972652499999995</v>
      </c>
      <c r="M139">
        <v>31.1</v>
      </c>
      <c r="N139">
        <v>50.5</v>
      </c>
    </row>
    <row r="140" spans="1:14" x14ac:dyDescent="0.2">
      <c r="A140" t="s">
        <v>844</v>
      </c>
      <c r="B140">
        <v>680737</v>
      </c>
      <c r="C140">
        <v>2026</v>
      </c>
      <c r="D140">
        <v>1</v>
      </c>
      <c r="E140">
        <v>17.100000000000001</v>
      </c>
      <c r="F140">
        <v>2.9</v>
      </c>
      <c r="G140">
        <v>70.099999999999994</v>
      </c>
      <c r="H140">
        <v>82.9</v>
      </c>
      <c r="I140">
        <v>23.9</v>
      </c>
      <c r="J140">
        <v>26.9</v>
      </c>
      <c r="K140">
        <v>0</v>
      </c>
      <c r="L140">
        <v>91.309245454999996</v>
      </c>
      <c r="M140">
        <v>20.9</v>
      </c>
      <c r="N140">
        <v>59.3</v>
      </c>
    </row>
    <row r="141" spans="1:14" x14ac:dyDescent="0.2">
      <c r="A141" t="s">
        <v>845</v>
      </c>
      <c r="B141">
        <v>657041</v>
      </c>
      <c r="C141">
        <v>2026</v>
      </c>
      <c r="D141">
        <v>7</v>
      </c>
      <c r="E141">
        <v>22.3</v>
      </c>
      <c r="F141">
        <v>12.6</v>
      </c>
      <c r="G141">
        <v>72.3</v>
      </c>
      <c r="H141">
        <v>89.2</v>
      </c>
      <c r="I141">
        <v>17.8</v>
      </c>
      <c r="J141">
        <v>38.200000000000003</v>
      </c>
      <c r="K141">
        <v>6.4</v>
      </c>
      <c r="L141">
        <v>99.885395402</v>
      </c>
      <c r="M141">
        <v>21</v>
      </c>
      <c r="N141">
        <v>41.1</v>
      </c>
    </row>
    <row r="142" spans="1:14" x14ac:dyDescent="0.2">
      <c r="A142" t="s">
        <v>846</v>
      </c>
      <c r="B142">
        <v>663624</v>
      </c>
      <c r="C142">
        <v>2026</v>
      </c>
      <c r="D142">
        <v>0</v>
      </c>
      <c r="E142">
        <v>13.3</v>
      </c>
      <c r="F142">
        <v>6.7</v>
      </c>
      <c r="G142">
        <v>74.400000000000006</v>
      </c>
      <c r="H142">
        <v>90</v>
      </c>
      <c r="I142">
        <v>8.8000000000000007</v>
      </c>
      <c r="J142">
        <v>33.299999999999997</v>
      </c>
      <c r="K142">
        <v>0</v>
      </c>
      <c r="L142">
        <v>103.053788333</v>
      </c>
      <c r="M142">
        <v>8.8000000000000007</v>
      </c>
      <c r="N142">
        <v>63</v>
      </c>
    </row>
    <row r="143" spans="1:14" x14ac:dyDescent="0.2">
      <c r="A143" t="s">
        <v>847</v>
      </c>
      <c r="B143">
        <v>807713</v>
      </c>
      <c r="C143">
        <v>2026</v>
      </c>
      <c r="D143">
        <v>4</v>
      </c>
      <c r="E143">
        <v>18.399999999999999</v>
      </c>
      <c r="F143">
        <v>8.1999999999999993</v>
      </c>
      <c r="G143">
        <v>69</v>
      </c>
      <c r="H143">
        <v>86.8</v>
      </c>
      <c r="I143">
        <v>14.8</v>
      </c>
      <c r="J143">
        <v>33.299999999999997</v>
      </c>
      <c r="K143">
        <v>4.8</v>
      </c>
      <c r="L143">
        <v>97.600154118000006</v>
      </c>
      <c r="M143">
        <v>19.7</v>
      </c>
      <c r="N143">
        <v>47.4</v>
      </c>
    </row>
    <row r="144" spans="1:14" x14ac:dyDescent="0.2">
      <c r="A144" t="s">
        <v>848</v>
      </c>
      <c r="B144">
        <v>643376</v>
      </c>
      <c r="C144">
        <v>2026</v>
      </c>
      <c r="D144">
        <v>3</v>
      </c>
      <c r="E144">
        <v>28.2</v>
      </c>
      <c r="F144">
        <v>9.1999999999999993</v>
      </c>
      <c r="G144">
        <v>70.5</v>
      </c>
      <c r="H144">
        <v>87.7</v>
      </c>
      <c r="I144">
        <v>22.3</v>
      </c>
      <c r="J144">
        <v>21.4</v>
      </c>
      <c r="K144">
        <v>6</v>
      </c>
      <c r="L144">
        <v>97.328380476000007</v>
      </c>
      <c r="M144">
        <v>25.5</v>
      </c>
      <c r="N144">
        <v>44.7</v>
      </c>
    </row>
    <row r="145" spans="1:14" x14ac:dyDescent="0.2">
      <c r="A145" t="s">
        <v>849</v>
      </c>
      <c r="B145">
        <v>605170</v>
      </c>
      <c r="C145">
        <v>2026</v>
      </c>
      <c r="D145">
        <v>7</v>
      </c>
      <c r="E145">
        <v>18.899999999999999</v>
      </c>
      <c r="F145">
        <v>9.8000000000000007</v>
      </c>
      <c r="G145">
        <v>71</v>
      </c>
      <c r="H145">
        <v>89.7</v>
      </c>
      <c r="I145">
        <v>13.5</v>
      </c>
      <c r="J145">
        <v>40.200000000000003</v>
      </c>
      <c r="K145">
        <v>7.8</v>
      </c>
      <c r="L145">
        <v>98.673265221999998</v>
      </c>
      <c r="M145">
        <v>22.5</v>
      </c>
      <c r="N145">
        <v>41.2</v>
      </c>
    </row>
    <row r="146" spans="1:14" x14ac:dyDescent="0.2">
      <c r="A146" t="s">
        <v>850</v>
      </c>
      <c r="B146">
        <v>669242</v>
      </c>
      <c r="C146">
        <v>2026</v>
      </c>
      <c r="D146">
        <v>1</v>
      </c>
      <c r="E146">
        <v>17.899999999999999</v>
      </c>
      <c r="F146">
        <v>10.3</v>
      </c>
      <c r="G146">
        <v>70.7</v>
      </c>
      <c r="H146">
        <v>89.3</v>
      </c>
      <c r="I146">
        <v>10.1</v>
      </c>
      <c r="J146">
        <v>38.200000000000003</v>
      </c>
      <c r="K146">
        <v>5.5</v>
      </c>
      <c r="L146">
        <v>100.096082963</v>
      </c>
      <c r="M146">
        <v>19.3</v>
      </c>
      <c r="N146">
        <v>47.9</v>
      </c>
    </row>
    <row r="147" spans="1:14" x14ac:dyDescent="0.2">
      <c r="A147" t="s">
        <v>851</v>
      </c>
      <c r="B147">
        <v>643217</v>
      </c>
      <c r="C147">
        <v>2026</v>
      </c>
      <c r="D147">
        <v>10</v>
      </c>
      <c r="E147">
        <v>24</v>
      </c>
      <c r="F147">
        <v>8.3000000000000007</v>
      </c>
      <c r="G147">
        <v>69.900000000000006</v>
      </c>
      <c r="H147">
        <v>89.2</v>
      </c>
      <c r="I147">
        <v>15.9</v>
      </c>
      <c r="J147">
        <v>35.4</v>
      </c>
      <c r="K147">
        <v>9.8000000000000007</v>
      </c>
      <c r="L147">
        <v>99.378618750000001</v>
      </c>
      <c r="M147">
        <v>28.2</v>
      </c>
      <c r="N147">
        <v>51.6</v>
      </c>
    </row>
    <row r="148" spans="1:14" x14ac:dyDescent="0.2">
      <c r="A148" t="s">
        <v>852</v>
      </c>
      <c r="B148">
        <v>571657</v>
      </c>
      <c r="C148">
        <v>2026</v>
      </c>
      <c r="D148">
        <v>0</v>
      </c>
      <c r="E148">
        <v>25</v>
      </c>
      <c r="F148">
        <v>0</v>
      </c>
      <c r="G148">
        <v>66.3</v>
      </c>
      <c r="H148">
        <v>80.400000000000006</v>
      </c>
      <c r="I148">
        <v>6.5</v>
      </c>
      <c r="J148">
        <v>33.299999999999997</v>
      </c>
      <c r="K148">
        <v>0</v>
      </c>
      <c r="L148">
        <v>93.193218333000004</v>
      </c>
      <c r="M148">
        <v>30</v>
      </c>
      <c r="N148">
        <v>57.7</v>
      </c>
    </row>
    <row r="149" spans="1:14" x14ac:dyDescent="0.2">
      <c r="A149" t="s">
        <v>853</v>
      </c>
      <c r="B149">
        <v>670097</v>
      </c>
      <c r="C149">
        <v>2026</v>
      </c>
      <c r="D149">
        <v>0</v>
      </c>
      <c r="E149">
        <v>30.6</v>
      </c>
      <c r="F149">
        <v>12.9</v>
      </c>
      <c r="G149">
        <v>70.3</v>
      </c>
      <c r="H149">
        <v>88.7</v>
      </c>
      <c r="I149">
        <v>27.9</v>
      </c>
      <c r="J149">
        <v>29.4</v>
      </c>
      <c r="K149">
        <v>5.9</v>
      </c>
      <c r="L149">
        <v>95.801551250000003</v>
      </c>
      <c r="M149">
        <v>31.1</v>
      </c>
      <c r="N149">
        <v>44.9</v>
      </c>
    </row>
    <row r="150" spans="1:14" x14ac:dyDescent="0.2">
      <c r="A150" t="s">
        <v>854</v>
      </c>
      <c r="B150">
        <v>700932</v>
      </c>
      <c r="C150">
        <v>2026</v>
      </c>
      <c r="D150">
        <v>10</v>
      </c>
      <c r="E150">
        <v>31</v>
      </c>
      <c r="F150">
        <v>10.6</v>
      </c>
      <c r="G150">
        <v>69.900000000000006</v>
      </c>
      <c r="H150">
        <v>89.1</v>
      </c>
      <c r="I150">
        <v>18.600000000000001</v>
      </c>
      <c r="J150">
        <v>33</v>
      </c>
      <c r="K150">
        <v>10.8</v>
      </c>
      <c r="L150">
        <v>98.490905631999993</v>
      </c>
      <c r="M150">
        <v>29.9</v>
      </c>
      <c r="N150">
        <v>46.1</v>
      </c>
    </row>
    <row r="151" spans="1:14" x14ac:dyDescent="0.2">
      <c r="A151" t="s">
        <v>855</v>
      </c>
      <c r="B151">
        <v>650402</v>
      </c>
      <c r="C151">
        <v>2026</v>
      </c>
      <c r="D151">
        <v>4</v>
      </c>
      <c r="E151">
        <v>17.399999999999999</v>
      </c>
      <c r="F151">
        <v>15.3</v>
      </c>
      <c r="G151">
        <v>67.8</v>
      </c>
      <c r="H151">
        <v>85.3</v>
      </c>
      <c r="I151">
        <v>7.1</v>
      </c>
      <c r="J151">
        <v>37.299999999999997</v>
      </c>
      <c r="K151">
        <v>7.9</v>
      </c>
      <c r="L151">
        <v>96.743224921000007</v>
      </c>
      <c r="M151">
        <v>21.8</v>
      </c>
      <c r="N151">
        <v>39.4</v>
      </c>
    </row>
    <row r="152" spans="1:14" x14ac:dyDescent="0.2">
      <c r="A152" t="s">
        <v>856</v>
      </c>
      <c r="B152">
        <v>663968</v>
      </c>
      <c r="C152">
        <v>2026</v>
      </c>
      <c r="D152">
        <v>2</v>
      </c>
      <c r="E152">
        <v>16.600000000000001</v>
      </c>
      <c r="F152">
        <v>5.5</v>
      </c>
      <c r="G152">
        <v>67.099999999999994</v>
      </c>
      <c r="H152">
        <v>84.6</v>
      </c>
      <c r="I152">
        <v>3.2</v>
      </c>
      <c r="J152">
        <v>23.6</v>
      </c>
      <c r="K152">
        <v>1.6</v>
      </c>
      <c r="L152">
        <v>95.841883296999995</v>
      </c>
      <c r="M152">
        <v>20.5</v>
      </c>
      <c r="N152">
        <v>59.8</v>
      </c>
    </row>
    <row r="153" spans="1:14" x14ac:dyDescent="0.2">
      <c r="A153" t="s">
        <v>857</v>
      </c>
      <c r="B153">
        <v>683002</v>
      </c>
      <c r="C153">
        <v>2026</v>
      </c>
      <c r="D153">
        <v>17</v>
      </c>
      <c r="E153">
        <v>22.6</v>
      </c>
      <c r="F153">
        <v>7.7</v>
      </c>
      <c r="G153">
        <v>74.400000000000006</v>
      </c>
      <c r="H153">
        <v>89.7</v>
      </c>
      <c r="I153">
        <v>11.9</v>
      </c>
      <c r="J153">
        <v>29</v>
      </c>
      <c r="K153">
        <v>7.3</v>
      </c>
      <c r="L153">
        <v>100.69302999999999</v>
      </c>
      <c r="M153">
        <v>23.2</v>
      </c>
      <c r="N153">
        <v>49</v>
      </c>
    </row>
    <row r="154" spans="1:14" x14ac:dyDescent="0.2">
      <c r="A154" t="s">
        <v>858</v>
      </c>
      <c r="B154">
        <v>687263</v>
      </c>
      <c r="C154">
        <v>2026</v>
      </c>
      <c r="D154">
        <v>19</v>
      </c>
      <c r="E154">
        <v>31.4</v>
      </c>
      <c r="F154">
        <v>10.4</v>
      </c>
      <c r="G154">
        <v>71</v>
      </c>
      <c r="H154">
        <v>89.5</v>
      </c>
      <c r="I154">
        <v>22.1</v>
      </c>
      <c r="J154">
        <v>34.299999999999997</v>
      </c>
      <c r="K154">
        <v>13</v>
      </c>
      <c r="L154">
        <v>99.612090507999994</v>
      </c>
      <c r="M154">
        <v>32.200000000000003</v>
      </c>
      <c r="N154">
        <v>50.9</v>
      </c>
    </row>
    <row r="155" spans="1:14" x14ac:dyDescent="0.2">
      <c r="A155" t="s">
        <v>859</v>
      </c>
      <c r="B155">
        <v>542303</v>
      </c>
      <c r="C155">
        <v>2026</v>
      </c>
      <c r="D155">
        <v>8</v>
      </c>
      <c r="E155">
        <v>30.8</v>
      </c>
      <c r="F155">
        <v>9.6</v>
      </c>
      <c r="G155">
        <v>73.599999999999994</v>
      </c>
      <c r="H155">
        <v>89.7</v>
      </c>
      <c r="I155">
        <v>21.2</v>
      </c>
      <c r="J155">
        <v>40.1</v>
      </c>
      <c r="K155">
        <v>9</v>
      </c>
      <c r="L155">
        <v>99.824240416999999</v>
      </c>
      <c r="M155">
        <v>31</v>
      </c>
      <c r="N155">
        <v>42.4</v>
      </c>
    </row>
    <row r="156" spans="1:14" x14ac:dyDescent="0.2">
      <c r="A156" t="s">
        <v>860</v>
      </c>
      <c r="B156">
        <v>642851</v>
      </c>
      <c r="C156">
        <v>2026</v>
      </c>
      <c r="D156">
        <v>0</v>
      </c>
      <c r="E156">
        <v>24.6</v>
      </c>
      <c r="F156">
        <v>5.3</v>
      </c>
      <c r="G156">
        <v>71.3</v>
      </c>
      <c r="H156">
        <v>86</v>
      </c>
      <c r="I156">
        <v>20.100000000000001</v>
      </c>
      <c r="J156">
        <v>32.5</v>
      </c>
      <c r="K156">
        <v>5</v>
      </c>
      <c r="L156">
        <v>96.442382499999994</v>
      </c>
      <c r="M156">
        <v>28.1</v>
      </c>
      <c r="N156">
        <v>56.4</v>
      </c>
    </row>
    <row r="157" spans="1:14" x14ac:dyDescent="0.2">
      <c r="A157" t="s">
        <v>861</v>
      </c>
      <c r="B157">
        <v>667670</v>
      </c>
      <c r="C157">
        <v>2026</v>
      </c>
      <c r="D157">
        <v>10</v>
      </c>
      <c r="E157">
        <v>32</v>
      </c>
      <c r="F157">
        <v>9.4</v>
      </c>
      <c r="G157">
        <v>74.099999999999994</v>
      </c>
      <c r="H157">
        <v>89.9</v>
      </c>
      <c r="I157">
        <v>19.7</v>
      </c>
      <c r="J157">
        <v>34.200000000000003</v>
      </c>
      <c r="K157">
        <v>15.5</v>
      </c>
      <c r="L157">
        <v>101.773379828</v>
      </c>
      <c r="M157">
        <v>38.4</v>
      </c>
      <c r="N157">
        <v>49.6</v>
      </c>
    </row>
    <row r="158" spans="1:14" x14ac:dyDescent="0.2">
      <c r="A158" t="s">
        <v>862</v>
      </c>
      <c r="B158">
        <v>668904</v>
      </c>
      <c r="C158">
        <v>2026</v>
      </c>
      <c r="D158">
        <v>10</v>
      </c>
      <c r="E158">
        <v>27</v>
      </c>
      <c r="F158">
        <v>9.4</v>
      </c>
      <c r="G158">
        <v>74.5</v>
      </c>
      <c r="H158">
        <v>89.1</v>
      </c>
      <c r="I158">
        <v>19.7</v>
      </c>
      <c r="J158">
        <v>33.5</v>
      </c>
      <c r="K158">
        <v>13</v>
      </c>
      <c r="L158">
        <v>100.580016296</v>
      </c>
      <c r="M158">
        <v>34.9</v>
      </c>
      <c r="N158">
        <v>47.1</v>
      </c>
    </row>
    <row r="159" spans="1:14" x14ac:dyDescent="0.2">
      <c r="A159" t="s">
        <v>863</v>
      </c>
      <c r="B159">
        <v>650968</v>
      </c>
      <c r="C159">
        <v>2026</v>
      </c>
      <c r="D159">
        <v>0</v>
      </c>
      <c r="E159">
        <v>9.1</v>
      </c>
      <c r="F159">
        <v>0</v>
      </c>
      <c r="G159">
        <v>70.2</v>
      </c>
      <c r="H159">
        <v>87.6</v>
      </c>
      <c r="I159">
        <v>14</v>
      </c>
      <c r="J159">
        <v>26.7</v>
      </c>
      <c r="K159">
        <v>0</v>
      </c>
      <c r="L159">
        <v>96.775120666999996</v>
      </c>
      <c r="M159">
        <v>13</v>
      </c>
      <c r="N159">
        <v>67</v>
      </c>
    </row>
    <row r="160" spans="1:14" x14ac:dyDescent="0.2">
      <c r="A160" t="s">
        <v>864</v>
      </c>
      <c r="B160">
        <v>663993</v>
      </c>
      <c r="C160">
        <v>2026</v>
      </c>
      <c r="D160">
        <v>10</v>
      </c>
      <c r="E160">
        <v>26.8</v>
      </c>
      <c r="F160">
        <v>11.6</v>
      </c>
      <c r="G160">
        <v>74.5</v>
      </c>
      <c r="H160">
        <v>88.8</v>
      </c>
      <c r="I160">
        <v>15</v>
      </c>
      <c r="J160">
        <v>40.6</v>
      </c>
      <c r="K160">
        <v>11.3</v>
      </c>
      <c r="L160">
        <v>101.05316596999999</v>
      </c>
      <c r="M160">
        <v>22.2</v>
      </c>
      <c r="N160">
        <v>44.9</v>
      </c>
    </row>
    <row r="161" spans="1:14" x14ac:dyDescent="0.2">
      <c r="A161" t="s">
        <v>865</v>
      </c>
      <c r="B161">
        <v>608701</v>
      </c>
      <c r="C161">
        <v>2026</v>
      </c>
      <c r="D161">
        <v>3</v>
      </c>
      <c r="E161">
        <v>26.9</v>
      </c>
      <c r="F161">
        <v>5.9</v>
      </c>
      <c r="G161">
        <v>71.900000000000006</v>
      </c>
      <c r="H161">
        <v>86.1</v>
      </c>
      <c r="I161">
        <v>19.100000000000001</v>
      </c>
      <c r="J161">
        <v>23.4</v>
      </c>
      <c r="K161">
        <v>6.5</v>
      </c>
      <c r="L161">
        <v>97.449294737000002</v>
      </c>
      <c r="M161">
        <v>27.5</v>
      </c>
      <c r="N161">
        <v>44.2</v>
      </c>
    </row>
    <row r="162" spans="1:14" x14ac:dyDescent="0.2">
      <c r="A162" t="s">
        <v>866</v>
      </c>
      <c r="B162">
        <v>660644</v>
      </c>
      <c r="C162">
        <v>2026</v>
      </c>
      <c r="D162">
        <v>0</v>
      </c>
      <c r="E162">
        <v>7.7</v>
      </c>
      <c r="F162">
        <v>7.7</v>
      </c>
      <c r="G162">
        <v>68.900000000000006</v>
      </c>
      <c r="H162">
        <v>82</v>
      </c>
      <c r="I162">
        <v>20.2</v>
      </c>
      <c r="J162">
        <v>9.1</v>
      </c>
      <c r="K162">
        <v>0</v>
      </c>
      <c r="L162">
        <v>92.260499999999993</v>
      </c>
      <c r="M162">
        <v>22.7</v>
      </c>
      <c r="N162">
        <v>56.4</v>
      </c>
    </row>
    <row r="163" spans="1:14" x14ac:dyDescent="0.2">
      <c r="A163" t="s">
        <v>867</v>
      </c>
      <c r="B163">
        <v>660844</v>
      </c>
      <c r="C163">
        <v>2026</v>
      </c>
      <c r="D163">
        <v>0</v>
      </c>
      <c r="E163">
        <v>30</v>
      </c>
      <c r="F163">
        <v>12.5</v>
      </c>
      <c r="G163">
        <v>65.3</v>
      </c>
      <c r="H163">
        <v>86.2</v>
      </c>
      <c r="I163">
        <v>20.2</v>
      </c>
      <c r="J163">
        <v>30.3</v>
      </c>
      <c r="K163">
        <v>1.5</v>
      </c>
      <c r="L163">
        <v>93.399037500000006</v>
      </c>
      <c r="M163">
        <v>24.1</v>
      </c>
      <c r="N163">
        <v>36.5</v>
      </c>
    </row>
    <row r="164" spans="1:14" x14ac:dyDescent="0.2">
      <c r="A164" t="s">
        <v>868</v>
      </c>
      <c r="B164">
        <v>668227</v>
      </c>
      <c r="C164">
        <v>2026</v>
      </c>
      <c r="D164">
        <v>11</v>
      </c>
      <c r="E164">
        <v>21.6</v>
      </c>
      <c r="F164">
        <v>9.8000000000000007</v>
      </c>
      <c r="G164">
        <v>70.900000000000006</v>
      </c>
      <c r="H164">
        <v>91.3</v>
      </c>
      <c r="I164">
        <v>8.5</v>
      </c>
      <c r="J164">
        <v>38.6</v>
      </c>
      <c r="K164">
        <v>8.1</v>
      </c>
      <c r="L164">
        <v>100.42795016300001</v>
      </c>
      <c r="M164">
        <v>27.7</v>
      </c>
      <c r="N164">
        <v>47.1</v>
      </c>
    </row>
    <row r="165" spans="1:14" x14ac:dyDescent="0.2">
      <c r="A165" t="s">
        <v>869</v>
      </c>
      <c r="B165">
        <v>700250</v>
      </c>
      <c r="C165">
        <v>2026</v>
      </c>
      <c r="D165">
        <v>29</v>
      </c>
      <c r="E165">
        <v>23.3</v>
      </c>
      <c r="F165">
        <v>12.3</v>
      </c>
      <c r="G165">
        <v>72.599999999999994</v>
      </c>
      <c r="H165">
        <v>92.1</v>
      </c>
      <c r="I165">
        <v>14.2</v>
      </c>
      <c r="J165">
        <v>39.5</v>
      </c>
      <c r="K165">
        <v>15.3</v>
      </c>
      <c r="L165">
        <v>101.770527661</v>
      </c>
      <c r="M165">
        <v>24.1</v>
      </c>
      <c r="N165">
        <v>43.1</v>
      </c>
    </row>
    <row r="166" spans="1:14" x14ac:dyDescent="0.2">
      <c r="A166" t="s">
        <v>870</v>
      </c>
      <c r="B166">
        <v>663611</v>
      </c>
      <c r="C166">
        <v>2026</v>
      </c>
      <c r="D166">
        <v>0</v>
      </c>
      <c r="E166">
        <v>5.8</v>
      </c>
      <c r="F166">
        <v>13.5</v>
      </c>
      <c r="G166">
        <v>65.5</v>
      </c>
      <c r="H166">
        <v>88.7</v>
      </c>
      <c r="I166">
        <v>9.8000000000000007</v>
      </c>
      <c r="J166">
        <v>29.3</v>
      </c>
      <c r="K166">
        <v>0</v>
      </c>
      <c r="L166">
        <v>95.824097143000003</v>
      </c>
      <c r="M166">
        <v>8.6999999999999993</v>
      </c>
      <c r="N166">
        <v>50</v>
      </c>
    </row>
    <row r="167" spans="1:14" x14ac:dyDescent="0.2">
      <c r="A167" t="s">
        <v>871</v>
      </c>
      <c r="B167">
        <v>660670</v>
      </c>
      <c r="C167">
        <v>2026</v>
      </c>
      <c r="D167">
        <v>7</v>
      </c>
      <c r="E167">
        <v>22</v>
      </c>
      <c r="F167">
        <v>14.8</v>
      </c>
      <c r="G167">
        <v>76</v>
      </c>
      <c r="H167">
        <v>90.1</v>
      </c>
      <c r="I167">
        <v>17.600000000000001</v>
      </c>
      <c r="J167">
        <v>32.4</v>
      </c>
      <c r="K167">
        <v>13.1</v>
      </c>
      <c r="L167">
        <v>101.655387534</v>
      </c>
      <c r="M167">
        <v>29.3</v>
      </c>
      <c r="N167">
        <v>45.4</v>
      </c>
    </row>
    <row r="168" spans="1:14" x14ac:dyDescent="0.2">
      <c r="A168" t="s">
        <v>872</v>
      </c>
      <c r="B168">
        <v>678391</v>
      </c>
      <c r="C168">
        <v>2026</v>
      </c>
      <c r="D168">
        <v>3</v>
      </c>
      <c r="E168">
        <v>12.9</v>
      </c>
      <c r="F168">
        <v>9</v>
      </c>
      <c r="G168">
        <v>69.2</v>
      </c>
      <c r="H168">
        <v>83.3</v>
      </c>
      <c r="I168">
        <v>11.4</v>
      </c>
      <c r="J168">
        <v>34</v>
      </c>
      <c r="K168">
        <v>3.8</v>
      </c>
      <c r="L168">
        <v>95.326355062999994</v>
      </c>
      <c r="M168">
        <v>17.3</v>
      </c>
      <c r="N168">
        <v>50.3</v>
      </c>
    </row>
    <row r="169" spans="1:14" x14ac:dyDescent="0.2">
      <c r="A169" t="s">
        <v>873</v>
      </c>
      <c r="B169">
        <v>592885</v>
      </c>
      <c r="C169">
        <v>2026</v>
      </c>
      <c r="D169">
        <v>6</v>
      </c>
      <c r="E169">
        <v>28.6</v>
      </c>
      <c r="F169">
        <v>10.1</v>
      </c>
      <c r="G169">
        <v>73.099999999999994</v>
      </c>
      <c r="H169">
        <v>89</v>
      </c>
      <c r="I169">
        <v>3.8</v>
      </c>
      <c r="J169">
        <v>28.3</v>
      </c>
      <c r="K169">
        <v>7.3</v>
      </c>
      <c r="L169">
        <v>100.435122099</v>
      </c>
      <c r="M169">
        <v>31.2</v>
      </c>
      <c r="N169">
        <v>44.6</v>
      </c>
    </row>
    <row r="170" spans="1:14" x14ac:dyDescent="0.2">
      <c r="A170" t="s">
        <v>874</v>
      </c>
      <c r="B170">
        <v>800050</v>
      </c>
      <c r="C170">
        <v>2026</v>
      </c>
      <c r="D170">
        <v>11</v>
      </c>
      <c r="E170">
        <v>13.5</v>
      </c>
      <c r="F170">
        <v>9.6</v>
      </c>
      <c r="G170">
        <v>71.5</v>
      </c>
      <c r="H170">
        <v>90.9</v>
      </c>
      <c r="I170">
        <v>13.9</v>
      </c>
      <c r="J170">
        <v>34.4</v>
      </c>
      <c r="K170">
        <v>6.7</v>
      </c>
      <c r="L170">
        <v>101.434837344</v>
      </c>
      <c r="M170">
        <v>15.8</v>
      </c>
      <c r="N170">
        <v>43.1</v>
      </c>
    </row>
    <row r="171" spans="1:14" x14ac:dyDescent="0.2">
      <c r="A171" t="s">
        <v>875</v>
      </c>
      <c r="B171">
        <v>681351</v>
      </c>
      <c r="C171">
        <v>2026</v>
      </c>
      <c r="D171">
        <v>4</v>
      </c>
      <c r="E171">
        <v>24.9</v>
      </c>
      <c r="F171">
        <v>6.9</v>
      </c>
      <c r="G171">
        <v>72.2</v>
      </c>
      <c r="H171">
        <v>87.2</v>
      </c>
      <c r="I171">
        <v>18.100000000000001</v>
      </c>
      <c r="J171">
        <v>30.8</v>
      </c>
      <c r="K171">
        <v>10.9</v>
      </c>
      <c r="L171">
        <v>99.444409871999994</v>
      </c>
      <c r="M171">
        <v>28.1</v>
      </c>
      <c r="N171">
        <v>51.3</v>
      </c>
    </row>
    <row r="172" spans="1:14" x14ac:dyDescent="0.2">
      <c r="A172" t="s">
        <v>876</v>
      </c>
      <c r="B172">
        <v>691016</v>
      </c>
      <c r="C172">
        <v>2026</v>
      </c>
      <c r="D172">
        <v>14</v>
      </c>
      <c r="E172">
        <v>17.600000000000001</v>
      </c>
      <c r="F172">
        <v>13</v>
      </c>
      <c r="G172">
        <v>74.5</v>
      </c>
      <c r="H172">
        <v>90.1</v>
      </c>
      <c r="I172">
        <v>12</v>
      </c>
      <c r="J172">
        <v>31</v>
      </c>
      <c r="K172">
        <v>10.1</v>
      </c>
      <c r="L172">
        <v>101.599591429</v>
      </c>
      <c r="M172">
        <v>21.2</v>
      </c>
      <c r="N172">
        <v>45.9</v>
      </c>
    </row>
    <row r="173" spans="1:14" x14ac:dyDescent="0.2">
      <c r="A173" t="s">
        <v>877</v>
      </c>
      <c r="B173">
        <v>699912</v>
      </c>
      <c r="C173">
        <v>2026</v>
      </c>
      <c r="D173">
        <v>3</v>
      </c>
      <c r="E173">
        <v>22.6</v>
      </c>
      <c r="F173">
        <v>4</v>
      </c>
      <c r="G173">
        <v>74.400000000000006</v>
      </c>
      <c r="H173">
        <v>87.9</v>
      </c>
      <c r="I173">
        <v>11.6</v>
      </c>
      <c r="J173">
        <v>27.1</v>
      </c>
      <c r="K173">
        <v>3.9</v>
      </c>
      <c r="L173">
        <v>100.319566885</v>
      </c>
      <c r="M173">
        <v>24.6</v>
      </c>
      <c r="N173">
        <v>47.2</v>
      </c>
    </row>
    <row r="174" spans="1:14" x14ac:dyDescent="0.2">
      <c r="A174" t="s">
        <v>878</v>
      </c>
      <c r="B174">
        <v>693459</v>
      </c>
      <c r="C174">
        <v>2026</v>
      </c>
      <c r="D174">
        <v>0</v>
      </c>
      <c r="E174">
        <v>42.1</v>
      </c>
      <c r="F174">
        <v>10.5</v>
      </c>
      <c r="G174">
        <v>71.400000000000006</v>
      </c>
      <c r="H174">
        <v>87.9</v>
      </c>
      <c r="I174">
        <v>13.4</v>
      </c>
      <c r="J174">
        <v>22.2</v>
      </c>
      <c r="K174">
        <v>0</v>
      </c>
      <c r="L174">
        <v>96.867509999999996</v>
      </c>
      <c r="M174">
        <v>39.5</v>
      </c>
      <c r="N174">
        <v>55.1</v>
      </c>
    </row>
    <row r="175" spans="1:14" x14ac:dyDescent="0.2">
      <c r="A175" t="s">
        <v>879</v>
      </c>
      <c r="B175">
        <v>642215</v>
      </c>
      <c r="C175">
        <v>2026</v>
      </c>
      <c r="D175">
        <v>2</v>
      </c>
      <c r="E175">
        <v>28.1</v>
      </c>
      <c r="F175">
        <v>9.4</v>
      </c>
      <c r="G175">
        <v>72.599999999999994</v>
      </c>
      <c r="H175">
        <v>86.5</v>
      </c>
      <c r="I175">
        <v>20.100000000000001</v>
      </c>
      <c r="J175">
        <v>30.8</v>
      </c>
      <c r="K175">
        <v>5.3</v>
      </c>
      <c r="L175">
        <v>97.514265789000007</v>
      </c>
      <c r="M175">
        <v>33.6</v>
      </c>
      <c r="N175">
        <v>48.3</v>
      </c>
    </row>
    <row r="176" spans="1:14" x14ac:dyDescent="0.2">
      <c r="A176" t="s">
        <v>880</v>
      </c>
      <c r="B176">
        <v>665742</v>
      </c>
      <c r="C176">
        <v>2026</v>
      </c>
      <c r="D176">
        <v>21</v>
      </c>
      <c r="E176">
        <v>12.9</v>
      </c>
      <c r="F176">
        <v>16.5</v>
      </c>
      <c r="G176">
        <v>72</v>
      </c>
      <c r="H176">
        <v>92.6</v>
      </c>
      <c r="I176">
        <v>15.9</v>
      </c>
      <c r="J176">
        <v>32.299999999999997</v>
      </c>
      <c r="K176">
        <v>15</v>
      </c>
      <c r="L176">
        <v>102.68307698300001</v>
      </c>
      <c r="M176">
        <v>19.600000000000001</v>
      </c>
      <c r="N176">
        <v>39</v>
      </c>
    </row>
    <row r="177" spans="1:14" x14ac:dyDescent="0.2">
      <c r="A177" t="s">
        <v>881</v>
      </c>
      <c r="B177">
        <v>675659</v>
      </c>
      <c r="C177">
        <v>2026</v>
      </c>
      <c r="D177">
        <v>0</v>
      </c>
      <c r="E177">
        <v>41.7</v>
      </c>
      <c r="F177">
        <v>0</v>
      </c>
      <c r="G177">
        <v>70.5</v>
      </c>
      <c r="H177">
        <v>86.3</v>
      </c>
      <c r="I177">
        <v>1.3</v>
      </c>
      <c r="J177">
        <v>21.4</v>
      </c>
      <c r="K177">
        <v>0</v>
      </c>
      <c r="L177">
        <v>98.611036666999993</v>
      </c>
      <c r="M177">
        <v>38.6</v>
      </c>
      <c r="N177">
        <v>54.3</v>
      </c>
    </row>
    <row r="178" spans="1:14" x14ac:dyDescent="0.2">
      <c r="A178" t="s">
        <v>882</v>
      </c>
      <c r="B178">
        <v>687462</v>
      </c>
      <c r="C178">
        <v>2026</v>
      </c>
      <c r="D178">
        <v>10</v>
      </c>
      <c r="E178">
        <v>13.6</v>
      </c>
      <c r="F178">
        <v>13.6</v>
      </c>
      <c r="G178">
        <v>69</v>
      </c>
      <c r="H178">
        <v>86.9</v>
      </c>
      <c r="I178">
        <v>17.100000000000001</v>
      </c>
      <c r="J178">
        <v>27.6</v>
      </c>
      <c r="K178">
        <v>8.6</v>
      </c>
      <c r="L178">
        <v>97.742612285999996</v>
      </c>
      <c r="M178">
        <v>15.2</v>
      </c>
      <c r="N178">
        <v>40.5</v>
      </c>
    </row>
    <row r="179" spans="1:14" x14ac:dyDescent="0.2">
      <c r="A179" t="s">
        <v>883</v>
      </c>
      <c r="B179">
        <v>695490</v>
      </c>
      <c r="C179">
        <v>2026</v>
      </c>
      <c r="D179">
        <v>0</v>
      </c>
      <c r="E179">
        <v>21.3</v>
      </c>
      <c r="F179">
        <v>2.8</v>
      </c>
      <c r="G179">
        <v>69.2</v>
      </c>
      <c r="H179">
        <v>86.7</v>
      </c>
      <c r="I179">
        <v>17.600000000000001</v>
      </c>
      <c r="J179">
        <v>44.3</v>
      </c>
      <c r="K179">
        <v>1.3</v>
      </c>
      <c r="L179">
        <v>95.588258648999997</v>
      </c>
      <c r="M179">
        <v>23.1</v>
      </c>
      <c r="N179">
        <v>60.6</v>
      </c>
    </row>
    <row r="180" spans="1:14" x14ac:dyDescent="0.2">
      <c r="A180" t="s">
        <v>884</v>
      </c>
      <c r="B180">
        <v>664954</v>
      </c>
      <c r="C180">
        <v>2026</v>
      </c>
      <c r="D180">
        <v>4</v>
      </c>
      <c r="E180">
        <v>17.3</v>
      </c>
      <c r="F180">
        <v>5.3</v>
      </c>
      <c r="G180">
        <v>67.8</v>
      </c>
      <c r="H180">
        <v>87</v>
      </c>
      <c r="I180">
        <v>20.6</v>
      </c>
      <c r="J180">
        <v>32.4</v>
      </c>
      <c r="K180">
        <v>2.9</v>
      </c>
      <c r="L180">
        <v>96.792389999999997</v>
      </c>
      <c r="M180">
        <v>18.3</v>
      </c>
      <c r="N180">
        <v>51.8</v>
      </c>
    </row>
    <row r="181" spans="1:14" x14ac:dyDescent="0.2">
      <c r="A181" t="s">
        <v>885</v>
      </c>
      <c r="B181">
        <v>695578</v>
      </c>
      <c r="C181">
        <v>2026</v>
      </c>
      <c r="D181">
        <v>28</v>
      </c>
      <c r="E181">
        <v>28.4</v>
      </c>
      <c r="F181">
        <v>17.399999999999999</v>
      </c>
      <c r="G181">
        <v>76.8</v>
      </c>
      <c r="H181">
        <v>95</v>
      </c>
      <c r="I181">
        <v>9.8000000000000007</v>
      </c>
      <c r="J181">
        <v>42.1</v>
      </c>
      <c r="K181">
        <v>22.7</v>
      </c>
      <c r="L181">
        <v>106.410381488</v>
      </c>
      <c r="M181">
        <v>30.9</v>
      </c>
      <c r="N181">
        <v>37.799999999999997</v>
      </c>
    </row>
    <row r="182" spans="1:14" x14ac:dyDescent="0.2">
      <c r="A182" t="s">
        <v>886</v>
      </c>
      <c r="B182">
        <v>694384</v>
      </c>
      <c r="C182">
        <v>2026</v>
      </c>
      <c r="D182">
        <v>6</v>
      </c>
      <c r="E182">
        <v>15</v>
      </c>
      <c r="F182">
        <v>8.1</v>
      </c>
      <c r="G182">
        <v>68</v>
      </c>
      <c r="H182">
        <v>87.3</v>
      </c>
      <c r="I182">
        <v>11.3</v>
      </c>
      <c r="J182">
        <v>35.700000000000003</v>
      </c>
      <c r="K182">
        <v>2.1</v>
      </c>
      <c r="L182">
        <v>97.085951332999997</v>
      </c>
      <c r="M182">
        <v>17.899999999999999</v>
      </c>
      <c r="N182">
        <v>45.7</v>
      </c>
    </row>
    <row r="183" spans="1:14" x14ac:dyDescent="0.2">
      <c r="A183" t="s">
        <v>887</v>
      </c>
      <c r="B183">
        <v>682668</v>
      </c>
      <c r="C183">
        <v>2026</v>
      </c>
      <c r="D183">
        <v>1</v>
      </c>
      <c r="E183">
        <v>18</v>
      </c>
      <c r="F183">
        <v>4.3</v>
      </c>
      <c r="G183">
        <v>72.2</v>
      </c>
      <c r="H183">
        <v>89.8</v>
      </c>
      <c r="I183">
        <v>2.7</v>
      </c>
      <c r="J183">
        <v>24.2</v>
      </c>
      <c r="K183">
        <v>4</v>
      </c>
      <c r="L183">
        <v>100.025015833</v>
      </c>
      <c r="M183">
        <v>24.1</v>
      </c>
      <c r="N183">
        <v>50.9</v>
      </c>
    </row>
    <row r="184" spans="1:14" x14ac:dyDescent="0.2">
      <c r="A184" t="s">
        <v>888</v>
      </c>
      <c r="B184">
        <v>687515</v>
      </c>
      <c r="C184">
        <v>2026</v>
      </c>
      <c r="D184">
        <v>4</v>
      </c>
      <c r="E184">
        <v>29.1</v>
      </c>
      <c r="F184">
        <v>3.9</v>
      </c>
      <c r="G184">
        <v>75.3</v>
      </c>
      <c r="H184">
        <v>89.7</v>
      </c>
      <c r="I184">
        <v>21.4</v>
      </c>
      <c r="J184">
        <v>30.4</v>
      </c>
      <c r="K184">
        <v>10.1</v>
      </c>
      <c r="L184">
        <v>99.658784999999995</v>
      </c>
      <c r="M184">
        <v>32.9</v>
      </c>
      <c r="N184">
        <v>59.7</v>
      </c>
    </row>
    <row r="185" spans="1:14" x14ac:dyDescent="0.2">
      <c r="A185" t="s">
        <v>889</v>
      </c>
      <c r="B185">
        <v>669004</v>
      </c>
      <c r="C185">
        <v>2026</v>
      </c>
      <c r="D185">
        <v>4</v>
      </c>
      <c r="E185">
        <v>34.700000000000003</v>
      </c>
      <c r="F185">
        <v>11.8</v>
      </c>
      <c r="G185">
        <v>74</v>
      </c>
      <c r="H185">
        <v>94.2</v>
      </c>
      <c r="I185">
        <v>23.6</v>
      </c>
      <c r="J185">
        <v>29.2</v>
      </c>
      <c r="K185">
        <v>11.1</v>
      </c>
      <c r="L185">
        <v>102.543121111</v>
      </c>
      <c r="M185">
        <v>34.5</v>
      </c>
      <c r="N185">
        <v>46.7</v>
      </c>
    </row>
    <row r="186" spans="1:14" x14ac:dyDescent="0.2">
      <c r="A186" t="s">
        <v>890</v>
      </c>
      <c r="B186">
        <v>665804</v>
      </c>
      <c r="C186">
        <v>2026</v>
      </c>
      <c r="D186">
        <v>3</v>
      </c>
      <c r="E186">
        <v>22.8</v>
      </c>
      <c r="F186">
        <v>11.4</v>
      </c>
      <c r="G186">
        <v>70.099999999999994</v>
      </c>
      <c r="H186">
        <v>86.6</v>
      </c>
      <c r="I186">
        <v>21.4</v>
      </c>
      <c r="J186">
        <v>32.299999999999997</v>
      </c>
      <c r="K186">
        <v>6.3</v>
      </c>
      <c r="L186">
        <v>97.391544582999998</v>
      </c>
      <c r="M186">
        <v>25.3</v>
      </c>
      <c r="N186">
        <v>43.9</v>
      </c>
    </row>
    <row r="187" spans="1:14" x14ac:dyDescent="0.2">
      <c r="A187" t="s">
        <v>891</v>
      </c>
      <c r="B187">
        <v>672724</v>
      </c>
      <c r="C187">
        <v>2026</v>
      </c>
      <c r="D187">
        <v>7</v>
      </c>
      <c r="E187">
        <v>29.6</v>
      </c>
      <c r="F187">
        <v>3.6</v>
      </c>
      <c r="G187">
        <v>72.400000000000006</v>
      </c>
      <c r="H187">
        <v>87.3</v>
      </c>
      <c r="I187">
        <v>9.6</v>
      </c>
      <c r="J187">
        <v>34.6</v>
      </c>
      <c r="K187">
        <v>7.9</v>
      </c>
      <c r="L187">
        <v>99.817327586000005</v>
      </c>
      <c r="M187">
        <v>30.1</v>
      </c>
      <c r="N187">
        <v>55.6</v>
      </c>
    </row>
    <row r="188" spans="1:14" x14ac:dyDescent="0.2">
      <c r="A188" t="s">
        <v>892</v>
      </c>
      <c r="B188">
        <v>694208</v>
      </c>
      <c r="C188">
        <v>2026</v>
      </c>
      <c r="D188">
        <v>6</v>
      </c>
      <c r="E188">
        <v>20.6</v>
      </c>
      <c r="F188">
        <v>9.6999999999999993</v>
      </c>
      <c r="G188">
        <v>73.3</v>
      </c>
      <c r="H188">
        <v>90.1</v>
      </c>
      <c r="I188">
        <v>10.6</v>
      </c>
      <c r="J188">
        <v>33.6</v>
      </c>
      <c r="K188">
        <v>9.1</v>
      </c>
      <c r="L188">
        <v>101.11251672100001</v>
      </c>
      <c r="M188">
        <v>26.9</v>
      </c>
      <c r="N188">
        <v>49</v>
      </c>
    </row>
    <row r="189" spans="1:14" x14ac:dyDescent="0.2">
      <c r="A189" t="s">
        <v>893</v>
      </c>
      <c r="B189">
        <v>596019</v>
      </c>
      <c r="C189">
        <v>2026</v>
      </c>
      <c r="D189">
        <v>5</v>
      </c>
      <c r="E189">
        <v>15.8</v>
      </c>
      <c r="F189">
        <v>9.4</v>
      </c>
      <c r="G189">
        <v>72.599999999999994</v>
      </c>
      <c r="H189">
        <v>92</v>
      </c>
      <c r="I189">
        <v>14.8</v>
      </c>
      <c r="J189">
        <v>31</v>
      </c>
      <c r="K189">
        <v>8.6999999999999993</v>
      </c>
      <c r="L189">
        <v>100.33687873</v>
      </c>
      <c r="M189">
        <v>23.6</v>
      </c>
      <c r="N189">
        <v>45.8</v>
      </c>
    </row>
    <row r="190" spans="1:14" x14ac:dyDescent="0.2">
      <c r="A190" t="s">
        <v>894</v>
      </c>
      <c r="B190">
        <v>662139</v>
      </c>
      <c r="C190">
        <v>2026</v>
      </c>
      <c r="D190">
        <v>7</v>
      </c>
      <c r="E190">
        <v>19.8</v>
      </c>
      <c r="F190">
        <v>8.4</v>
      </c>
      <c r="G190">
        <v>72.8</v>
      </c>
      <c r="H190">
        <v>86</v>
      </c>
      <c r="I190">
        <v>14.5</v>
      </c>
      <c r="J190">
        <v>35.200000000000003</v>
      </c>
      <c r="K190">
        <v>5.9</v>
      </c>
      <c r="L190">
        <v>98.624260550000002</v>
      </c>
      <c r="M190">
        <v>20.7</v>
      </c>
      <c r="N190">
        <v>52.9</v>
      </c>
    </row>
    <row r="191" spans="1:14" x14ac:dyDescent="0.2">
      <c r="A191" t="s">
        <v>895</v>
      </c>
      <c r="B191">
        <v>676572</v>
      </c>
      <c r="C191">
        <v>2026</v>
      </c>
      <c r="D191">
        <v>2</v>
      </c>
      <c r="E191">
        <v>23.1</v>
      </c>
      <c r="F191">
        <v>10.3</v>
      </c>
      <c r="G191">
        <v>72.400000000000006</v>
      </c>
      <c r="H191">
        <v>84.3</v>
      </c>
      <c r="I191">
        <v>1.9</v>
      </c>
      <c r="J191">
        <v>36</v>
      </c>
      <c r="K191">
        <v>8</v>
      </c>
      <c r="L191">
        <v>96.650497692000002</v>
      </c>
      <c r="M191">
        <v>30.9</v>
      </c>
      <c r="N191">
        <v>40.5</v>
      </c>
    </row>
    <row r="192" spans="1:14" x14ac:dyDescent="0.2">
      <c r="A192" t="s">
        <v>896</v>
      </c>
      <c r="B192">
        <v>665923</v>
      </c>
      <c r="C192">
        <v>2026</v>
      </c>
      <c r="D192">
        <v>4</v>
      </c>
      <c r="E192">
        <v>28</v>
      </c>
      <c r="F192">
        <v>12.7</v>
      </c>
      <c r="G192">
        <v>72</v>
      </c>
      <c r="H192">
        <v>85.9</v>
      </c>
      <c r="I192">
        <v>28</v>
      </c>
      <c r="J192">
        <v>43.8</v>
      </c>
      <c r="K192">
        <v>7.8</v>
      </c>
      <c r="L192">
        <v>96.390789677000001</v>
      </c>
      <c r="M192">
        <v>30.7</v>
      </c>
      <c r="N192">
        <v>48.2</v>
      </c>
    </row>
    <row r="193" spans="1:14" x14ac:dyDescent="0.2">
      <c r="A193" t="s">
        <v>897</v>
      </c>
      <c r="B193">
        <v>687282</v>
      </c>
      <c r="C193">
        <v>2026</v>
      </c>
      <c r="D193">
        <v>2</v>
      </c>
      <c r="E193">
        <v>26.8</v>
      </c>
      <c r="F193">
        <v>2.8</v>
      </c>
      <c r="G193">
        <v>76.400000000000006</v>
      </c>
      <c r="H193">
        <v>90.7</v>
      </c>
      <c r="I193">
        <v>12</v>
      </c>
      <c r="J193">
        <v>22.4</v>
      </c>
      <c r="K193">
        <v>8.6999999999999993</v>
      </c>
      <c r="L193">
        <v>101.29742</v>
      </c>
      <c r="M193">
        <v>29.6</v>
      </c>
      <c r="N193">
        <v>58.7</v>
      </c>
    </row>
    <row r="194" spans="1:14" x14ac:dyDescent="0.2">
      <c r="A194" t="s">
        <v>898</v>
      </c>
      <c r="B194">
        <v>691783</v>
      </c>
      <c r="C194">
        <v>2026</v>
      </c>
      <c r="D194">
        <v>1</v>
      </c>
      <c r="E194">
        <v>22.7</v>
      </c>
      <c r="F194">
        <v>6.8</v>
      </c>
      <c r="G194">
        <v>69.599999999999994</v>
      </c>
      <c r="H194">
        <v>86.5</v>
      </c>
      <c r="I194">
        <v>17.5</v>
      </c>
      <c r="J194">
        <v>32.1</v>
      </c>
      <c r="K194">
        <v>3.6</v>
      </c>
      <c r="L194">
        <v>97.324708571000002</v>
      </c>
      <c r="M194">
        <v>22.2</v>
      </c>
      <c r="N194">
        <v>46.3</v>
      </c>
    </row>
    <row r="195" spans="1:14" x14ac:dyDescent="0.2">
      <c r="A195" t="s">
        <v>899</v>
      </c>
      <c r="B195">
        <v>678662</v>
      </c>
      <c r="C195">
        <v>2026</v>
      </c>
      <c r="D195">
        <v>8</v>
      </c>
      <c r="E195">
        <v>25.2</v>
      </c>
      <c r="F195">
        <v>5.3</v>
      </c>
      <c r="G195">
        <v>72</v>
      </c>
      <c r="H195">
        <v>87.1</v>
      </c>
      <c r="I195">
        <v>16.899999999999999</v>
      </c>
      <c r="J195">
        <v>36.6</v>
      </c>
      <c r="K195">
        <v>6.8</v>
      </c>
      <c r="L195">
        <v>98.284049913000004</v>
      </c>
      <c r="M195">
        <v>29.1</v>
      </c>
      <c r="N195">
        <v>62.6</v>
      </c>
    </row>
    <row r="196" spans="1:14" x14ac:dyDescent="0.2">
      <c r="A196" t="s">
        <v>900</v>
      </c>
      <c r="B196">
        <v>813841</v>
      </c>
      <c r="C196">
        <v>2026</v>
      </c>
      <c r="D196">
        <v>1</v>
      </c>
      <c r="E196">
        <v>51.7</v>
      </c>
      <c r="F196">
        <v>0</v>
      </c>
      <c r="G196">
        <v>69.099999999999994</v>
      </c>
      <c r="H196">
        <v>90</v>
      </c>
      <c r="I196">
        <v>25.3</v>
      </c>
      <c r="J196">
        <v>42.9</v>
      </c>
      <c r="K196">
        <v>7.1</v>
      </c>
      <c r="L196">
        <v>100.468244</v>
      </c>
      <c r="M196">
        <v>50</v>
      </c>
      <c r="N196">
        <v>61</v>
      </c>
    </row>
    <row r="197" spans="1:14" x14ac:dyDescent="0.2">
      <c r="A197" t="s">
        <v>901</v>
      </c>
      <c r="B197">
        <v>687363</v>
      </c>
      <c r="C197">
        <v>2026</v>
      </c>
      <c r="D197">
        <v>2</v>
      </c>
      <c r="E197">
        <v>23.9</v>
      </c>
      <c r="F197">
        <v>8.6999999999999993</v>
      </c>
      <c r="G197">
        <v>68.400000000000006</v>
      </c>
      <c r="H197">
        <v>86.7</v>
      </c>
      <c r="I197">
        <v>7.2</v>
      </c>
      <c r="J197">
        <v>31.1</v>
      </c>
      <c r="K197">
        <v>0.8</v>
      </c>
      <c r="L197">
        <v>96.148647451000002</v>
      </c>
      <c r="M197">
        <v>24.9</v>
      </c>
      <c r="N197">
        <v>46.4</v>
      </c>
    </row>
    <row r="198" spans="1:14" x14ac:dyDescent="0.2">
      <c r="A198" t="s">
        <v>902</v>
      </c>
      <c r="B198">
        <v>703492</v>
      </c>
      <c r="C198">
        <v>2026</v>
      </c>
      <c r="D198">
        <v>0</v>
      </c>
      <c r="E198">
        <v>75</v>
      </c>
      <c r="F198">
        <v>0</v>
      </c>
      <c r="G198">
        <v>68.2</v>
      </c>
      <c r="H198">
        <v>86.8</v>
      </c>
      <c r="I198">
        <v>17.2</v>
      </c>
      <c r="J198">
        <v>100</v>
      </c>
      <c r="K198">
        <v>0</v>
      </c>
      <c r="L198">
        <v>96.501570000000001</v>
      </c>
      <c r="M198">
        <v>63.6</v>
      </c>
      <c r="N198">
        <v>41.5</v>
      </c>
    </row>
    <row r="199" spans="1:14" x14ac:dyDescent="0.2">
      <c r="A199" t="s">
        <v>903</v>
      </c>
      <c r="B199">
        <v>663743</v>
      </c>
      <c r="C199">
        <v>2026</v>
      </c>
      <c r="D199">
        <v>2</v>
      </c>
      <c r="E199">
        <v>12.2</v>
      </c>
      <c r="F199">
        <v>2.7</v>
      </c>
      <c r="G199">
        <v>72.400000000000006</v>
      </c>
      <c r="H199">
        <v>86</v>
      </c>
      <c r="I199">
        <v>7.5</v>
      </c>
      <c r="J199">
        <v>21.4</v>
      </c>
      <c r="K199">
        <v>1.7</v>
      </c>
      <c r="L199">
        <v>99.360532613999993</v>
      </c>
      <c r="M199">
        <v>15.6</v>
      </c>
      <c r="N199">
        <v>52.3</v>
      </c>
    </row>
    <row r="200" spans="1:14" x14ac:dyDescent="0.2">
      <c r="A200" t="s">
        <v>904</v>
      </c>
      <c r="B200">
        <v>701305</v>
      </c>
      <c r="C200">
        <v>2026</v>
      </c>
      <c r="D200">
        <v>1</v>
      </c>
      <c r="E200">
        <v>38.1</v>
      </c>
      <c r="F200">
        <v>9.5</v>
      </c>
      <c r="G200">
        <v>74.900000000000006</v>
      </c>
      <c r="H200">
        <v>82.4</v>
      </c>
      <c r="I200">
        <v>7.9</v>
      </c>
      <c r="J200">
        <v>48.5</v>
      </c>
      <c r="K200">
        <v>12.1</v>
      </c>
      <c r="L200">
        <v>95.083364705999998</v>
      </c>
      <c r="M200">
        <v>38.4</v>
      </c>
      <c r="N200">
        <v>43.4</v>
      </c>
    </row>
    <row r="201" spans="1:14" x14ac:dyDescent="0.2">
      <c r="A201" t="s">
        <v>905</v>
      </c>
      <c r="B201">
        <v>606466</v>
      </c>
      <c r="C201">
        <v>2026</v>
      </c>
      <c r="D201">
        <v>17</v>
      </c>
      <c r="E201">
        <v>14.3</v>
      </c>
      <c r="F201">
        <v>7.2</v>
      </c>
      <c r="G201">
        <v>74.599999999999994</v>
      </c>
      <c r="H201">
        <v>91</v>
      </c>
      <c r="I201">
        <v>12.4</v>
      </c>
      <c r="J201">
        <v>33.9</v>
      </c>
      <c r="K201">
        <v>10.9</v>
      </c>
      <c r="L201">
        <v>102.886470192</v>
      </c>
      <c r="M201">
        <v>20.399999999999999</v>
      </c>
      <c r="N201">
        <v>48.9</v>
      </c>
    </row>
    <row r="202" spans="1:14" x14ac:dyDescent="0.2">
      <c r="A202" t="s">
        <v>906</v>
      </c>
      <c r="B202">
        <v>571970</v>
      </c>
      <c r="C202">
        <v>2026</v>
      </c>
      <c r="D202">
        <v>17</v>
      </c>
      <c r="E202">
        <v>23.5</v>
      </c>
      <c r="F202">
        <v>11.9</v>
      </c>
      <c r="G202">
        <v>71.5</v>
      </c>
      <c r="H202">
        <v>90.1</v>
      </c>
      <c r="I202">
        <v>14.8</v>
      </c>
      <c r="J202">
        <v>35</v>
      </c>
      <c r="K202">
        <v>13.6</v>
      </c>
      <c r="L202">
        <v>101.20515588799999</v>
      </c>
      <c r="M202">
        <v>27.5</v>
      </c>
      <c r="N202">
        <v>44.3</v>
      </c>
    </row>
    <row r="203" spans="1:14" x14ac:dyDescent="0.2">
      <c r="A203" t="s">
        <v>907</v>
      </c>
      <c r="B203">
        <v>666310</v>
      </c>
      <c r="C203">
        <v>2026</v>
      </c>
      <c r="D203">
        <v>2</v>
      </c>
      <c r="E203">
        <v>23.3</v>
      </c>
      <c r="F203">
        <v>6.7</v>
      </c>
      <c r="G203">
        <v>71.8</v>
      </c>
      <c r="H203">
        <v>89.6</v>
      </c>
      <c r="I203">
        <v>18.899999999999999</v>
      </c>
      <c r="J203">
        <v>30.2</v>
      </c>
      <c r="K203">
        <v>11.1</v>
      </c>
      <c r="L203">
        <v>99.851973125000001</v>
      </c>
      <c r="M203">
        <v>14.8</v>
      </c>
      <c r="N203">
        <v>45.2</v>
      </c>
    </row>
    <row r="204" spans="1:14" x14ac:dyDescent="0.2">
      <c r="A204" t="s">
        <v>908</v>
      </c>
      <c r="B204">
        <v>592450</v>
      </c>
      <c r="C204">
        <v>2026</v>
      </c>
      <c r="D204">
        <v>17</v>
      </c>
      <c r="E204">
        <v>27.6</v>
      </c>
      <c r="F204">
        <v>16.100000000000001</v>
      </c>
      <c r="G204">
        <v>76.099999999999994</v>
      </c>
      <c r="H204">
        <v>94.1</v>
      </c>
      <c r="I204">
        <v>14.6</v>
      </c>
      <c r="J204">
        <v>33.6</v>
      </c>
      <c r="K204">
        <v>21.7</v>
      </c>
      <c r="L204">
        <v>105.303098194</v>
      </c>
      <c r="M204">
        <v>32.200000000000003</v>
      </c>
      <c r="N204">
        <v>42.9</v>
      </c>
    </row>
    <row r="205" spans="1:14" x14ac:dyDescent="0.2">
      <c r="A205" t="s">
        <v>909</v>
      </c>
      <c r="B205">
        <v>669087</v>
      </c>
      <c r="C205">
        <v>2026</v>
      </c>
      <c r="D205">
        <v>0</v>
      </c>
      <c r="E205">
        <v>47.8</v>
      </c>
      <c r="F205">
        <v>0</v>
      </c>
      <c r="G205">
        <v>73.599999999999994</v>
      </c>
      <c r="H205">
        <v>90.5</v>
      </c>
      <c r="I205">
        <v>10.9</v>
      </c>
      <c r="J205">
        <v>33.299999999999997</v>
      </c>
      <c r="K205">
        <v>16.7</v>
      </c>
      <c r="L205">
        <v>102.485323333</v>
      </c>
      <c r="M205">
        <v>40.4</v>
      </c>
      <c r="N205">
        <v>60.5</v>
      </c>
    </row>
    <row r="206" spans="1:14" x14ac:dyDescent="0.2">
      <c r="A206" t="s">
        <v>910</v>
      </c>
      <c r="B206">
        <v>695506</v>
      </c>
      <c r="C206">
        <v>2026</v>
      </c>
      <c r="D206">
        <v>15</v>
      </c>
      <c r="E206">
        <v>29.2</v>
      </c>
      <c r="F206">
        <v>7.2</v>
      </c>
      <c r="G206">
        <v>77.3</v>
      </c>
      <c r="H206">
        <v>93</v>
      </c>
      <c r="I206">
        <v>7.3</v>
      </c>
      <c r="J206">
        <v>35.299999999999997</v>
      </c>
      <c r="K206">
        <v>14.7</v>
      </c>
      <c r="L206">
        <v>105.881921101</v>
      </c>
      <c r="M206">
        <v>31.1</v>
      </c>
      <c r="N206">
        <v>51.7</v>
      </c>
    </row>
    <row r="207" spans="1:14" x14ac:dyDescent="0.2">
      <c r="A207" t="s">
        <v>911</v>
      </c>
      <c r="B207">
        <v>701350</v>
      </c>
      <c r="C207">
        <v>2026</v>
      </c>
      <c r="D207">
        <v>1</v>
      </c>
      <c r="E207">
        <v>25.4</v>
      </c>
      <c r="F207">
        <v>15.4</v>
      </c>
      <c r="G207">
        <v>75.599999999999994</v>
      </c>
      <c r="H207">
        <v>92.3</v>
      </c>
      <c r="I207">
        <v>8.3000000000000007</v>
      </c>
      <c r="J207">
        <v>40.799999999999997</v>
      </c>
      <c r="K207">
        <v>9.3000000000000007</v>
      </c>
      <c r="L207">
        <v>102.118792368</v>
      </c>
      <c r="M207">
        <v>28.1</v>
      </c>
      <c r="N207">
        <v>37.200000000000003</v>
      </c>
    </row>
    <row r="208" spans="1:14" x14ac:dyDescent="0.2">
      <c r="A208" t="s">
        <v>912</v>
      </c>
      <c r="B208">
        <v>680757</v>
      </c>
      <c r="C208">
        <v>2026</v>
      </c>
      <c r="D208">
        <v>1</v>
      </c>
      <c r="E208">
        <v>10.199999999999999</v>
      </c>
      <c r="F208">
        <v>13</v>
      </c>
      <c r="G208">
        <v>62.7</v>
      </c>
      <c r="H208">
        <v>83.1</v>
      </c>
      <c r="I208">
        <v>14.3</v>
      </c>
      <c r="J208">
        <v>38.4</v>
      </c>
      <c r="K208">
        <v>0.4</v>
      </c>
      <c r="L208">
        <v>91.514915547000001</v>
      </c>
      <c r="M208">
        <v>8.8000000000000007</v>
      </c>
      <c r="N208">
        <v>36.299999999999997</v>
      </c>
    </row>
    <row r="209" spans="1:14" x14ac:dyDescent="0.2">
      <c r="A209" t="s">
        <v>913</v>
      </c>
      <c r="B209">
        <v>687597</v>
      </c>
      <c r="C209">
        <v>2026</v>
      </c>
      <c r="D209">
        <v>1</v>
      </c>
      <c r="E209">
        <v>25</v>
      </c>
      <c r="F209">
        <v>5.7</v>
      </c>
      <c r="G209">
        <v>73.5</v>
      </c>
      <c r="H209">
        <v>85.3</v>
      </c>
      <c r="I209">
        <v>14.2</v>
      </c>
      <c r="J209">
        <v>29.5</v>
      </c>
      <c r="K209">
        <v>3.3</v>
      </c>
      <c r="L209">
        <v>96.342657333000005</v>
      </c>
      <c r="M209">
        <v>29.3</v>
      </c>
      <c r="N209">
        <v>54.3</v>
      </c>
    </row>
    <row r="210" spans="1:14" x14ac:dyDescent="0.2">
      <c r="A210" t="s">
        <v>914</v>
      </c>
      <c r="B210">
        <v>502671</v>
      </c>
      <c r="C210">
        <v>2026</v>
      </c>
      <c r="D210">
        <v>15</v>
      </c>
      <c r="E210">
        <v>23.3</v>
      </c>
      <c r="F210">
        <v>6.9</v>
      </c>
      <c r="G210">
        <v>71.400000000000006</v>
      </c>
      <c r="H210">
        <v>86.5</v>
      </c>
      <c r="I210">
        <v>14</v>
      </c>
      <c r="J210">
        <v>33.9</v>
      </c>
      <c r="K210">
        <v>11.7</v>
      </c>
      <c r="L210">
        <v>99.369271333</v>
      </c>
      <c r="M210">
        <v>26.1</v>
      </c>
      <c r="N210">
        <v>48.5</v>
      </c>
    </row>
    <row r="211" spans="1:14" x14ac:dyDescent="0.2">
      <c r="A211" t="s">
        <v>915</v>
      </c>
      <c r="B211">
        <v>666176</v>
      </c>
      <c r="C211">
        <v>2026</v>
      </c>
      <c r="D211">
        <v>13</v>
      </c>
      <c r="E211">
        <v>21.8</v>
      </c>
      <c r="F211">
        <v>3</v>
      </c>
      <c r="G211">
        <v>77.3</v>
      </c>
      <c r="H211">
        <v>89.7</v>
      </c>
      <c r="I211">
        <v>17.100000000000001</v>
      </c>
      <c r="J211">
        <v>32.799999999999997</v>
      </c>
      <c r="K211">
        <v>8.5</v>
      </c>
      <c r="L211">
        <v>101.82973288700001</v>
      </c>
      <c r="M211">
        <v>26.4</v>
      </c>
      <c r="N211">
        <v>55.4</v>
      </c>
    </row>
    <row r="212" spans="1:14" x14ac:dyDescent="0.2">
      <c r="A212" t="s">
        <v>916</v>
      </c>
      <c r="B212">
        <v>671218</v>
      </c>
      <c r="C212">
        <v>2026</v>
      </c>
      <c r="D212">
        <v>8</v>
      </c>
      <c r="E212">
        <v>26</v>
      </c>
      <c r="F212">
        <v>5.0999999999999996</v>
      </c>
      <c r="G212">
        <v>72.2</v>
      </c>
      <c r="H212">
        <v>92.5</v>
      </c>
      <c r="I212">
        <v>6.8</v>
      </c>
      <c r="J212">
        <v>36.4</v>
      </c>
      <c r="K212">
        <v>16.399999999999999</v>
      </c>
      <c r="L212">
        <v>103.755555375</v>
      </c>
      <c r="M212">
        <v>27.8</v>
      </c>
      <c r="N212">
        <v>53.7</v>
      </c>
    </row>
    <row r="213" spans="1:14" x14ac:dyDescent="0.2">
      <c r="A213" t="s">
        <v>917</v>
      </c>
      <c r="B213">
        <v>675961</v>
      </c>
      <c r="C213">
        <v>2026</v>
      </c>
      <c r="D213">
        <v>2</v>
      </c>
      <c r="E213">
        <v>29.5</v>
      </c>
      <c r="F213">
        <v>3.4</v>
      </c>
      <c r="G213">
        <v>69.3</v>
      </c>
      <c r="H213">
        <v>85.4</v>
      </c>
      <c r="I213">
        <v>18.2</v>
      </c>
      <c r="J213">
        <v>30.5</v>
      </c>
      <c r="K213">
        <v>0</v>
      </c>
      <c r="L213">
        <v>97.373244827999997</v>
      </c>
      <c r="M213">
        <v>25.5</v>
      </c>
      <c r="N213">
        <v>52.9</v>
      </c>
    </row>
    <row r="214" spans="1:14" x14ac:dyDescent="0.2">
      <c r="A214" t="s">
        <v>918</v>
      </c>
      <c r="B214">
        <v>683357</v>
      </c>
      <c r="C214">
        <v>2026</v>
      </c>
      <c r="D214">
        <v>12</v>
      </c>
      <c r="E214">
        <v>39</v>
      </c>
      <c r="F214">
        <v>7.3</v>
      </c>
      <c r="G214">
        <v>74.900000000000006</v>
      </c>
      <c r="H214">
        <v>91.8</v>
      </c>
      <c r="I214">
        <v>16.7</v>
      </c>
      <c r="J214">
        <v>47.3</v>
      </c>
      <c r="K214">
        <v>16.3</v>
      </c>
      <c r="L214">
        <v>102.547923594</v>
      </c>
      <c r="M214">
        <v>36.700000000000003</v>
      </c>
      <c r="N214">
        <v>46.5</v>
      </c>
    </row>
    <row r="215" spans="1:14" x14ac:dyDescent="0.2">
      <c r="A215" t="s">
        <v>919</v>
      </c>
      <c r="B215">
        <v>656941</v>
      </c>
      <c r="C215">
        <v>2026</v>
      </c>
      <c r="D215">
        <v>32</v>
      </c>
      <c r="E215">
        <v>34.799999999999997</v>
      </c>
      <c r="F215">
        <v>14.3</v>
      </c>
      <c r="G215">
        <v>77.099999999999994</v>
      </c>
      <c r="H215">
        <v>93.4</v>
      </c>
      <c r="I215">
        <v>21.8</v>
      </c>
      <c r="J215">
        <v>40.1</v>
      </c>
      <c r="K215">
        <v>19.399999999999999</v>
      </c>
      <c r="L215">
        <v>104.224569223</v>
      </c>
      <c r="M215">
        <v>35.299999999999997</v>
      </c>
      <c r="N215">
        <v>44.7</v>
      </c>
    </row>
    <row r="216" spans="1:14" x14ac:dyDescent="0.2">
      <c r="A216" t="s">
        <v>920</v>
      </c>
      <c r="B216">
        <v>691176</v>
      </c>
      <c r="C216">
        <v>2026</v>
      </c>
      <c r="D216">
        <v>5</v>
      </c>
      <c r="E216">
        <v>20</v>
      </c>
      <c r="F216">
        <v>4.3</v>
      </c>
      <c r="G216">
        <v>74.099999999999994</v>
      </c>
      <c r="H216">
        <v>88.4</v>
      </c>
      <c r="I216">
        <v>12.5</v>
      </c>
      <c r="J216">
        <v>29.8</v>
      </c>
      <c r="K216">
        <v>4.8</v>
      </c>
      <c r="L216">
        <v>100.099781346</v>
      </c>
      <c r="M216">
        <v>26.4</v>
      </c>
      <c r="N216">
        <v>53.2</v>
      </c>
    </row>
    <row r="217" spans="1:14" x14ac:dyDescent="0.2">
      <c r="A217" t="s">
        <v>921</v>
      </c>
      <c r="B217">
        <v>693409</v>
      </c>
      <c r="C217">
        <v>2026</v>
      </c>
      <c r="D217">
        <v>0</v>
      </c>
      <c r="E217">
        <v>11.8</v>
      </c>
      <c r="F217">
        <v>0</v>
      </c>
      <c r="G217">
        <v>69.7</v>
      </c>
      <c r="H217">
        <v>91.2</v>
      </c>
      <c r="I217">
        <v>10.4</v>
      </c>
      <c r="J217">
        <v>20</v>
      </c>
      <c r="K217">
        <v>7.1</v>
      </c>
      <c r="L217">
        <v>101.527307143</v>
      </c>
      <c r="M217">
        <v>20.8</v>
      </c>
      <c r="N217">
        <v>57.1</v>
      </c>
    </row>
    <row r="218" spans="1:14" x14ac:dyDescent="0.2">
      <c r="A218" t="s">
        <v>922</v>
      </c>
      <c r="B218">
        <v>686894</v>
      </c>
      <c r="C218">
        <v>2026</v>
      </c>
      <c r="D218">
        <v>3</v>
      </c>
      <c r="E218">
        <v>34.9</v>
      </c>
      <c r="F218">
        <v>14.5</v>
      </c>
      <c r="G218">
        <v>71.5</v>
      </c>
      <c r="H218">
        <v>88.8</v>
      </c>
      <c r="I218">
        <v>2.2000000000000002</v>
      </c>
      <c r="J218">
        <v>29.3</v>
      </c>
      <c r="K218">
        <v>10</v>
      </c>
      <c r="L218">
        <v>100.456284</v>
      </c>
      <c r="M218">
        <v>31.9</v>
      </c>
      <c r="N218">
        <v>40.299999999999997</v>
      </c>
    </row>
    <row r="219" spans="1:14" x14ac:dyDescent="0.2">
      <c r="A219" t="s">
        <v>923</v>
      </c>
      <c r="B219">
        <v>543760</v>
      </c>
      <c r="C219">
        <v>2026</v>
      </c>
      <c r="D219">
        <v>9</v>
      </c>
      <c r="E219">
        <v>21.4</v>
      </c>
      <c r="F219">
        <v>7.2</v>
      </c>
      <c r="G219">
        <v>68.7</v>
      </c>
      <c r="H219">
        <v>86.2</v>
      </c>
      <c r="I219">
        <v>18.8</v>
      </c>
      <c r="J219">
        <v>37.6</v>
      </c>
      <c r="K219">
        <v>8</v>
      </c>
      <c r="L219">
        <v>97.275102161999996</v>
      </c>
      <c r="M219">
        <v>23.6</v>
      </c>
      <c r="N219">
        <v>51.1</v>
      </c>
    </row>
    <row r="220" spans="1:14" x14ac:dyDescent="0.2">
      <c r="A220" t="s">
        <v>924</v>
      </c>
      <c r="B220">
        <v>805300</v>
      </c>
      <c r="C220">
        <v>2026</v>
      </c>
      <c r="D220">
        <v>5</v>
      </c>
      <c r="E220">
        <v>21.9</v>
      </c>
      <c r="F220">
        <v>12.9</v>
      </c>
      <c r="G220">
        <v>70.5</v>
      </c>
      <c r="H220">
        <v>86.8</v>
      </c>
      <c r="I220">
        <v>18.600000000000001</v>
      </c>
      <c r="J220">
        <v>28.2</v>
      </c>
      <c r="K220">
        <v>3.3</v>
      </c>
      <c r="L220">
        <v>97.72061678</v>
      </c>
      <c r="M220">
        <v>18.899999999999999</v>
      </c>
      <c r="N220">
        <v>40</v>
      </c>
    </row>
    <row r="221" spans="1:14" x14ac:dyDescent="0.2">
      <c r="A221" t="s">
        <v>925</v>
      </c>
      <c r="B221">
        <v>573262</v>
      </c>
      <c r="C221">
        <v>2026</v>
      </c>
      <c r="D221">
        <v>6</v>
      </c>
      <c r="E221">
        <v>23.3</v>
      </c>
      <c r="F221">
        <v>10.3</v>
      </c>
      <c r="G221">
        <v>71.2</v>
      </c>
      <c r="H221">
        <v>90.4</v>
      </c>
      <c r="I221">
        <v>15.9</v>
      </c>
      <c r="J221">
        <v>32.9</v>
      </c>
      <c r="K221">
        <v>6.5</v>
      </c>
      <c r="L221">
        <v>99.694437143000002</v>
      </c>
      <c r="M221">
        <v>23.5</v>
      </c>
      <c r="N221">
        <v>41.5</v>
      </c>
    </row>
    <row r="222" spans="1:14" x14ac:dyDescent="0.2">
      <c r="A222" t="s">
        <v>926</v>
      </c>
      <c r="B222">
        <v>545341</v>
      </c>
      <c r="C222">
        <v>2026</v>
      </c>
      <c r="D222">
        <v>9</v>
      </c>
      <c r="E222">
        <v>22.9</v>
      </c>
      <c r="F222">
        <v>3.5</v>
      </c>
      <c r="G222">
        <v>73.900000000000006</v>
      </c>
      <c r="H222">
        <v>90.6</v>
      </c>
      <c r="I222">
        <v>14.8</v>
      </c>
      <c r="J222">
        <v>41</v>
      </c>
      <c r="K222">
        <v>13.3</v>
      </c>
      <c r="L222">
        <v>102.344056604</v>
      </c>
      <c r="M222">
        <v>23.7</v>
      </c>
      <c r="N222">
        <v>50.9</v>
      </c>
    </row>
    <row r="223" spans="1:14" x14ac:dyDescent="0.2">
      <c r="A223" t="s">
        <v>927</v>
      </c>
      <c r="B223">
        <v>623168</v>
      </c>
      <c r="C223">
        <v>2026</v>
      </c>
      <c r="D223">
        <v>1</v>
      </c>
      <c r="E223">
        <v>20.6</v>
      </c>
      <c r="F223">
        <v>2.8</v>
      </c>
      <c r="G223">
        <v>65.400000000000006</v>
      </c>
      <c r="H223">
        <v>81.3</v>
      </c>
      <c r="I223">
        <v>11.4</v>
      </c>
      <c r="J223">
        <v>25.3</v>
      </c>
      <c r="K223">
        <v>1.3</v>
      </c>
      <c r="L223">
        <v>91.847932162000006</v>
      </c>
      <c r="M223">
        <v>20.6</v>
      </c>
      <c r="N223">
        <v>55.6</v>
      </c>
    </row>
    <row r="224" spans="1:14" x14ac:dyDescent="0.2">
      <c r="A224" t="s">
        <v>928</v>
      </c>
      <c r="B224">
        <v>656537</v>
      </c>
      <c r="C224">
        <v>2026</v>
      </c>
      <c r="D224">
        <v>7</v>
      </c>
      <c r="E224">
        <v>35.9</v>
      </c>
      <c r="F224">
        <v>6.2</v>
      </c>
      <c r="G224">
        <v>71.7</v>
      </c>
      <c r="H224">
        <v>90.4</v>
      </c>
      <c r="I224">
        <v>15.1</v>
      </c>
      <c r="J224">
        <v>43.4</v>
      </c>
      <c r="K224">
        <v>11</v>
      </c>
      <c r="L224">
        <v>99.552958919000005</v>
      </c>
      <c r="M224">
        <v>35.5</v>
      </c>
      <c r="N224">
        <v>50.8</v>
      </c>
    </row>
    <row r="225" spans="1:14" x14ac:dyDescent="0.2">
      <c r="A225" t="s">
        <v>929</v>
      </c>
      <c r="B225">
        <v>553993</v>
      </c>
      <c r="C225">
        <v>2026</v>
      </c>
      <c r="D225">
        <v>11</v>
      </c>
      <c r="E225">
        <v>36</v>
      </c>
      <c r="F225">
        <v>9</v>
      </c>
      <c r="G225">
        <v>71.5</v>
      </c>
      <c r="H225">
        <v>87.9</v>
      </c>
      <c r="I225">
        <v>20.100000000000001</v>
      </c>
      <c r="J225">
        <v>34.5</v>
      </c>
      <c r="K225">
        <v>9.3000000000000007</v>
      </c>
      <c r="L225">
        <v>99.034148713999997</v>
      </c>
      <c r="M225">
        <v>35.5</v>
      </c>
      <c r="N225">
        <v>46.8</v>
      </c>
    </row>
    <row r="226" spans="1:14" x14ac:dyDescent="0.2">
      <c r="A226" t="s">
        <v>930</v>
      </c>
      <c r="B226">
        <v>622761</v>
      </c>
      <c r="C226">
        <v>2026</v>
      </c>
      <c r="D226">
        <v>4</v>
      </c>
      <c r="E226">
        <v>30.6</v>
      </c>
      <c r="F226">
        <v>6</v>
      </c>
      <c r="G226">
        <v>73.7</v>
      </c>
      <c r="H226">
        <v>90.2</v>
      </c>
      <c r="I226">
        <v>12.9</v>
      </c>
      <c r="J226">
        <v>47.1</v>
      </c>
      <c r="K226">
        <v>9.4</v>
      </c>
      <c r="L226">
        <v>101.886227381</v>
      </c>
      <c r="M226">
        <v>30.6</v>
      </c>
      <c r="N226">
        <v>54.5</v>
      </c>
    </row>
    <row r="227" spans="1:14" x14ac:dyDescent="0.2">
      <c r="A227" t="s">
        <v>931</v>
      </c>
      <c r="B227">
        <v>669208</v>
      </c>
      <c r="C227">
        <v>2026</v>
      </c>
      <c r="D227">
        <v>0</v>
      </c>
      <c r="E227">
        <v>30</v>
      </c>
      <c r="F227">
        <v>10</v>
      </c>
      <c r="G227">
        <v>69.8</v>
      </c>
      <c r="H227">
        <v>92.2</v>
      </c>
      <c r="I227">
        <v>16.2</v>
      </c>
      <c r="J227">
        <v>50</v>
      </c>
      <c r="K227">
        <v>0</v>
      </c>
      <c r="L227">
        <v>98.871639999999999</v>
      </c>
      <c r="M227">
        <v>37.5</v>
      </c>
      <c r="N227">
        <v>53.3</v>
      </c>
    </row>
    <row r="228" spans="1:14" x14ac:dyDescent="0.2">
      <c r="A228" t="s">
        <v>932</v>
      </c>
      <c r="B228">
        <v>595879</v>
      </c>
      <c r="C228">
        <v>2026</v>
      </c>
      <c r="D228">
        <v>2</v>
      </c>
      <c r="E228">
        <v>19.5</v>
      </c>
      <c r="F228">
        <v>2.4</v>
      </c>
      <c r="G228">
        <v>72.5</v>
      </c>
      <c r="H228">
        <v>84.7</v>
      </c>
      <c r="I228">
        <v>10.199999999999999</v>
      </c>
      <c r="J228">
        <v>46</v>
      </c>
      <c r="K228">
        <v>3.2</v>
      </c>
      <c r="L228">
        <v>96.147375483999994</v>
      </c>
      <c r="M228">
        <v>27.5</v>
      </c>
      <c r="N228">
        <v>59.9</v>
      </c>
    </row>
    <row r="229" spans="1:14" x14ac:dyDescent="0.2">
      <c r="A229" t="s">
        <v>933</v>
      </c>
      <c r="B229">
        <v>672960</v>
      </c>
      <c r="C229">
        <v>2026</v>
      </c>
      <c r="D229">
        <v>22</v>
      </c>
      <c r="E229">
        <v>30.9</v>
      </c>
      <c r="F229">
        <v>9.4</v>
      </c>
      <c r="G229">
        <v>73.2</v>
      </c>
      <c r="H229">
        <v>91.5</v>
      </c>
      <c r="I229">
        <v>17.100000000000001</v>
      </c>
      <c r="J229">
        <v>32.700000000000003</v>
      </c>
      <c r="K229">
        <v>14.8</v>
      </c>
      <c r="L229">
        <v>102.50304705400001</v>
      </c>
      <c r="M229">
        <v>33.799999999999997</v>
      </c>
      <c r="N229">
        <v>45.7</v>
      </c>
    </row>
    <row r="230" spans="1:14" x14ac:dyDescent="0.2">
      <c r="A230" t="s">
        <v>934</v>
      </c>
      <c r="B230">
        <v>669397</v>
      </c>
      <c r="C230">
        <v>2026</v>
      </c>
      <c r="D230">
        <v>1</v>
      </c>
      <c r="E230">
        <v>22.7</v>
      </c>
      <c r="F230">
        <v>6.2</v>
      </c>
      <c r="G230">
        <v>68.8</v>
      </c>
      <c r="H230">
        <v>83.7</v>
      </c>
      <c r="I230">
        <v>16.8</v>
      </c>
      <c r="J230">
        <v>20.6</v>
      </c>
      <c r="K230">
        <v>1.5</v>
      </c>
      <c r="L230">
        <v>95.189090909000001</v>
      </c>
      <c r="M230">
        <v>28.3</v>
      </c>
      <c r="N230">
        <v>45.9</v>
      </c>
    </row>
    <row r="231" spans="1:14" x14ac:dyDescent="0.2">
      <c r="A231" t="s">
        <v>935</v>
      </c>
      <c r="B231">
        <v>609280</v>
      </c>
      <c r="C231">
        <v>2026</v>
      </c>
      <c r="D231">
        <v>5</v>
      </c>
      <c r="E231">
        <v>15.8</v>
      </c>
      <c r="F231">
        <v>4.2</v>
      </c>
      <c r="G231">
        <v>71.2</v>
      </c>
      <c r="H231">
        <v>88.3</v>
      </c>
      <c r="I231">
        <v>6.8</v>
      </c>
      <c r="J231">
        <v>27.5</v>
      </c>
      <c r="K231">
        <v>4.2</v>
      </c>
      <c r="L231">
        <v>99.657740000000004</v>
      </c>
      <c r="M231">
        <v>18.8</v>
      </c>
      <c r="N231">
        <v>54.5</v>
      </c>
    </row>
    <row r="232" spans="1:14" x14ac:dyDescent="0.2">
      <c r="A232" t="s">
        <v>936</v>
      </c>
      <c r="B232">
        <v>676439</v>
      </c>
      <c r="C232">
        <v>2026</v>
      </c>
      <c r="D232">
        <v>2</v>
      </c>
      <c r="E232">
        <v>29.2</v>
      </c>
      <c r="F232">
        <v>9.5</v>
      </c>
      <c r="G232">
        <v>70.8</v>
      </c>
      <c r="H232">
        <v>90.5</v>
      </c>
      <c r="I232">
        <v>17.600000000000001</v>
      </c>
      <c r="J232">
        <v>34.9</v>
      </c>
      <c r="K232">
        <v>8.4</v>
      </c>
      <c r="L232">
        <v>99.294250750000003</v>
      </c>
      <c r="M232">
        <v>25.5</v>
      </c>
      <c r="N232">
        <v>44.8</v>
      </c>
    </row>
    <row r="233" spans="1:14" x14ac:dyDescent="0.2">
      <c r="A233" t="s">
        <v>937</v>
      </c>
      <c r="B233">
        <v>701162</v>
      </c>
      <c r="C233">
        <v>2026</v>
      </c>
      <c r="D233">
        <v>0</v>
      </c>
      <c r="E233">
        <v>25</v>
      </c>
      <c r="F233">
        <v>14.3</v>
      </c>
      <c r="G233">
        <v>69.7</v>
      </c>
      <c r="H233">
        <v>89.1</v>
      </c>
      <c r="I233">
        <v>16.8</v>
      </c>
      <c r="J233">
        <v>35.299999999999997</v>
      </c>
      <c r="K233">
        <v>0</v>
      </c>
      <c r="L233">
        <v>98.281044444000003</v>
      </c>
      <c r="M233">
        <v>33.299999999999997</v>
      </c>
      <c r="N233">
        <v>46.8</v>
      </c>
    </row>
    <row r="234" spans="1:14" x14ac:dyDescent="0.2">
      <c r="A234" t="s">
        <v>938</v>
      </c>
      <c r="B234">
        <v>680728</v>
      </c>
      <c r="C234">
        <v>2026</v>
      </c>
      <c r="D234">
        <v>5</v>
      </c>
      <c r="E234">
        <v>29.3</v>
      </c>
      <c r="F234">
        <v>7.3</v>
      </c>
      <c r="G234">
        <v>72.3</v>
      </c>
      <c r="H234">
        <v>89.2</v>
      </c>
      <c r="I234">
        <v>16.399999999999999</v>
      </c>
      <c r="J234">
        <v>33.700000000000003</v>
      </c>
      <c r="K234">
        <v>6.8</v>
      </c>
      <c r="L234">
        <v>98.530106731000004</v>
      </c>
      <c r="M234">
        <v>29</v>
      </c>
      <c r="N234">
        <v>47.8</v>
      </c>
    </row>
    <row r="235" spans="1:14" x14ac:dyDescent="0.2">
      <c r="A235" t="s">
        <v>939</v>
      </c>
      <c r="B235">
        <v>680700</v>
      </c>
      <c r="C235">
        <v>2026</v>
      </c>
      <c r="D235">
        <v>3</v>
      </c>
      <c r="E235">
        <v>17.5</v>
      </c>
      <c r="F235">
        <v>11.4</v>
      </c>
      <c r="G235">
        <v>69.2</v>
      </c>
      <c r="H235">
        <v>86.1</v>
      </c>
      <c r="I235">
        <v>13.3</v>
      </c>
      <c r="J235">
        <v>35.799999999999997</v>
      </c>
      <c r="K235">
        <v>3.8</v>
      </c>
      <c r="L235">
        <v>96.004332078000004</v>
      </c>
      <c r="M235">
        <v>21.6</v>
      </c>
      <c r="N235">
        <v>45.9</v>
      </c>
    </row>
    <row r="236" spans="1:14" x14ac:dyDescent="0.2">
      <c r="A236" t="s">
        <v>940</v>
      </c>
      <c r="B236">
        <v>664728</v>
      </c>
      <c r="C236">
        <v>2026</v>
      </c>
      <c r="D236">
        <v>3</v>
      </c>
      <c r="E236">
        <v>22.4</v>
      </c>
      <c r="F236">
        <v>5.5</v>
      </c>
      <c r="G236">
        <v>71.7</v>
      </c>
      <c r="H236">
        <v>88.6</v>
      </c>
      <c r="I236">
        <v>13</v>
      </c>
      <c r="J236">
        <v>28.7</v>
      </c>
      <c r="K236">
        <v>3.1</v>
      </c>
      <c r="L236">
        <v>98.779106780000006</v>
      </c>
      <c r="M236">
        <v>19.2</v>
      </c>
      <c r="N236">
        <v>47.2</v>
      </c>
    </row>
    <row r="237" spans="1:14" x14ac:dyDescent="0.2">
      <c r="A237" t="s">
        <v>941</v>
      </c>
      <c r="B237">
        <v>656577</v>
      </c>
      <c r="C237">
        <v>2026</v>
      </c>
      <c r="D237">
        <v>1</v>
      </c>
      <c r="E237">
        <v>28.6</v>
      </c>
      <c r="F237">
        <v>0</v>
      </c>
      <c r="G237">
        <v>73</v>
      </c>
      <c r="H237">
        <v>87.7</v>
      </c>
      <c r="I237">
        <v>6.4</v>
      </c>
      <c r="J237">
        <v>21.1</v>
      </c>
      <c r="K237">
        <v>2.6</v>
      </c>
      <c r="L237">
        <v>98.961091765000006</v>
      </c>
      <c r="M237">
        <v>26.1</v>
      </c>
      <c r="N237">
        <v>58.3</v>
      </c>
    </row>
    <row r="238" spans="1:14" x14ac:dyDescent="0.2">
      <c r="A238" t="s">
        <v>942</v>
      </c>
      <c r="B238">
        <v>806198</v>
      </c>
      <c r="C238">
        <v>2026</v>
      </c>
      <c r="D238">
        <v>0</v>
      </c>
      <c r="E238">
        <v>15.7</v>
      </c>
      <c r="F238">
        <v>13.5</v>
      </c>
      <c r="G238">
        <v>70.5</v>
      </c>
      <c r="H238">
        <v>88.7</v>
      </c>
      <c r="I238">
        <v>7.8</v>
      </c>
      <c r="J238">
        <v>37.1</v>
      </c>
      <c r="K238">
        <v>5</v>
      </c>
      <c r="L238">
        <v>98.311657241000006</v>
      </c>
      <c r="M238">
        <v>24.8</v>
      </c>
      <c r="N238">
        <v>44.3</v>
      </c>
    </row>
    <row r="239" spans="1:14" x14ac:dyDescent="0.2">
      <c r="A239" t="s">
        <v>943</v>
      </c>
      <c r="B239">
        <v>596146</v>
      </c>
      <c r="C239">
        <v>2026</v>
      </c>
      <c r="D239">
        <v>1</v>
      </c>
      <c r="E239">
        <v>26.3</v>
      </c>
      <c r="F239">
        <v>2.6</v>
      </c>
      <c r="G239">
        <v>71.2</v>
      </c>
      <c r="H239">
        <v>90.2</v>
      </c>
      <c r="I239">
        <v>21.7</v>
      </c>
      <c r="J239">
        <v>59.3</v>
      </c>
      <c r="K239">
        <v>14.8</v>
      </c>
      <c r="L239">
        <v>100.310572857</v>
      </c>
      <c r="M239">
        <v>25.6</v>
      </c>
      <c r="N239">
        <v>58.6</v>
      </c>
    </row>
    <row r="240" spans="1:14" x14ac:dyDescent="0.2">
      <c r="A240" t="s">
        <v>944</v>
      </c>
      <c r="B240">
        <v>680777</v>
      </c>
      <c r="C240">
        <v>2026</v>
      </c>
      <c r="D240">
        <v>7</v>
      </c>
      <c r="E240">
        <v>15.3</v>
      </c>
      <c r="F240">
        <v>15.3</v>
      </c>
      <c r="G240">
        <v>73.3</v>
      </c>
      <c r="H240">
        <v>91.2</v>
      </c>
      <c r="I240">
        <v>20.2</v>
      </c>
      <c r="J240">
        <v>38</v>
      </c>
      <c r="K240">
        <v>14.8</v>
      </c>
      <c r="L240">
        <v>102.149706667</v>
      </c>
      <c r="M240">
        <v>16.3</v>
      </c>
      <c r="N240">
        <v>38.200000000000003</v>
      </c>
    </row>
    <row r="241" spans="1:14" x14ac:dyDescent="0.2">
      <c r="A241" t="s">
        <v>945</v>
      </c>
      <c r="B241">
        <v>669127</v>
      </c>
      <c r="C241">
        <v>2026</v>
      </c>
      <c r="D241">
        <v>21</v>
      </c>
      <c r="E241">
        <v>22</v>
      </c>
      <c r="F241">
        <v>7.8</v>
      </c>
      <c r="G241">
        <v>75.2</v>
      </c>
      <c r="H241">
        <v>91.8</v>
      </c>
      <c r="I241">
        <v>19.899999999999999</v>
      </c>
      <c r="J241">
        <v>36.799999999999997</v>
      </c>
      <c r="K241">
        <v>14.7</v>
      </c>
      <c r="L241">
        <v>102.47582887199999</v>
      </c>
      <c r="M241">
        <v>28</v>
      </c>
      <c r="N241">
        <v>50.4</v>
      </c>
    </row>
    <row r="242" spans="1:14" x14ac:dyDescent="0.2">
      <c r="A242" t="s">
        <v>946</v>
      </c>
      <c r="B242">
        <v>814439</v>
      </c>
      <c r="C242">
        <v>2026</v>
      </c>
      <c r="D242">
        <v>0</v>
      </c>
      <c r="E242">
        <v>33.6</v>
      </c>
      <c r="F242">
        <v>7</v>
      </c>
      <c r="G242">
        <v>72.3</v>
      </c>
      <c r="H242">
        <v>86.9</v>
      </c>
      <c r="I242">
        <v>16.600000000000001</v>
      </c>
      <c r="J242">
        <v>52.7</v>
      </c>
      <c r="K242">
        <v>8.1</v>
      </c>
      <c r="L242">
        <v>98.228715675999993</v>
      </c>
      <c r="M242">
        <v>35.5</v>
      </c>
      <c r="N242">
        <v>43.8</v>
      </c>
    </row>
    <row r="243" spans="1:14" x14ac:dyDescent="0.2">
      <c r="A243" t="s">
        <v>947</v>
      </c>
      <c r="B243">
        <v>641584</v>
      </c>
      <c r="C243">
        <v>2026</v>
      </c>
      <c r="D243">
        <v>2</v>
      </c>
      <c r="E243">
        <v>27.8</v>
      </c>
      <c r="F243">
        <v>8.9</v>
      </c>
      <c r="G243">
        <v>71.599999999999994</v>
      </c>
      <c r="H243">
        <v>83.9</v>
      </c>
      <c r="I243">
        <v>22.8</v>
      </c>
      <c r="J243">
        <v>45.6</v>
      </c>
      <c r="K243">
        <v>8.8000000000000007</v>
      </c>
      <c r="L243">
        <v>94.948210345000007</v>
      </c>
      <c r="M243">
        <v>21.8</v>
      </c>
      <c r="N243">
        <v>44.9</v>
      </c>
    </row>
    <row r="244" spans="1:14" x14ac:dyDescent="0.2">
      <c r="A244" t="s">
        <v>948</v>
      </c>
      <c r="B244">
        <v>669016</v>
      </c>
      <c r="C244">
        <v>2026</v>
      </c>
      <c r="D244">
        <v>15</v>
      </c>
      <c r="E244">
        <v>26.4</v>
      </c>
      <c r="F244">
        <v>5.2</v>
      </c>
      <c r="G244">
        <v>71.5</v>
      </c>
      <c r="H244">
        <v>89.8</v>
      </c>
      <c r="I244">
        <v>13.2</v>
      </c>
      <c r="J244">
        <v>44.3</v>
      </c>
      <c r="K244">
        <v>9.4</v>
      </c>
      <c r="L244">
        <v>100.380062787</v>
      </c>
      <c r="M244">
        <v>26.5</v>
      </c>
      <c r="N244">
        <v>53.3</v>
      </c>
    </row>
    <row r="245" spans="1:14" x14ac:dyDescent="0.2">
      <c r="A245" t="s">
        <v>949</v>
      </c>
      <c r="B245">
        <v>669477</v>
      </c>
      <c r="C245">
        <v>2026</v>
      </c>
      <c r="D245">
        <v>19</v>
      </c>
      <c r="E245">
        <v>19.2</v>
      </c>
      <c r="F245">
        <v>2.4</v>
      </c>
      <c r="G245">
        <v>72.599999999999994</v>
      </c>
      <c r="H245">
        <v>90</v>
      </c>
      <c r="I245">
        <v>21.5</v>
      </c>
      <c r="J245">
        <v>40.6</v>
      </c>
      <c r="K245">
        <v>12.4</v>
      </c>
      <c r="L245">
        <v>100.811633546</v>
      </c>
      <c r="M245">
        <v>21.6</v>
      </c>
      <c r="N245">
        <v>54.3</v>
      </c>
    </row>
    <row r="246" spans="1:14" x14ac:dyDescent="0.2">
      <c r="A246" t="s">
        <v>950</v>
      </c>
      <c r="B246">
        <v>595978</v>
      </c>
      <c r="C246">
        <v>2026</v>
      </c>
      <c r="D246">
        <v>3</v>
      </c>
      <c r="E246">
        <v>17.2</v>
      </c>
      <c r="F246">
        <v>7.6</v>
      </c>
      <c r="G246">
        <v>69.3</v>
      </c>
      <c r="H246">
        <v>86.9</v>
      </c>
      <c r="I246">
        <v>9.9</v>
      </c>
      <c r="J246">
        <v>30.6</v>
      </c>
      <c r="K246">
        <v>5.6</v>
      </c>
      <c r="L246">
        <v>98.062199422999996</v>
      </c>
      <c r="M246">
        <v>23.3</v>
      </c>
      <c r="N246">
        <v>45.8</v>
      </c>
    </row>
    <row r="247" spans="1:14" x14ac:dyDescent="0.2">
      <c r="A247" t="s">
        <v>951</v>
      </c>
      <c r="B247">
        <v>671289</v>
      </c>
      <c r="C247">
        <v>2026</v>
      </c>
      <c r="D247">
        <v>3</v>
      </c>
      <c r="E247">
        <v>12.4</v>
      </c>
      <c r="F247">
        <v>4.4000000000000004</v>
      </c>
      <c r="G247">
        <v>70.400000000000006</v>
      </c>
      <c r="H247">
        <v>88</v>
      </c>
      <c r="I247">
        <v>10</v>
      </c>
      <c r="J247">
        <v>31.4</v>
      </c>
      <c r="K247">
        <v>1.6</v>
      </c>
      <c r="L247">
        <v>98.090194238999999</v>
      </c>
      <c r="M247">
        <v>12.4</v>
      </c>
      <c r="N247">
        <v>49.9</v>
      </c>
    </row>
    <row r="248" spans="1:14" x14ac:dyDescent="0.2">
      <c r="A248" t="s">
        <v>952</v>
      </c>
      <c r="B248">
        <v>606115</v>
      </c>
      <c r="C248">
        <v>2026</v>
      </c>
      <c r="D248">
        <v>1</v>
      </c>
      <c r="E248">
        <v>16</v>
      </c>
      <c r="F248">
        <v>4</v>
      </c>
      <c r="G248">
        <v>70.599999999999994</v>
      </c>
      <c r="H248">
        <v>86</v>
      </c>
      <c r="I248">
        <v>4.2</v>
      </c>
      <c r="J248">
        <v>30</v>
      </c>
      <c r="K248">
        <v>2.5</v>
      </c>
      <c r="L248">
        <v>95.611648500000001</v>
      </c>
      <c r="M248">
        <v>22.1</v>
      </c>
      <c r="N248">
        <v>51.2</v>
      </c>
    </row>
    <row r="249" spans="1:14" x14ac:dyDescent="0.2">
      <c r="A249" t="s">
        <v>953</v>
      </c>
      <c r="B249">
        <v>701358</v>
      </c>
      <c r="C249">
        <v>2026</v>
      </c>
      <c r="D249">
        <v>12</v>
      </c>
      <c r="E249">
        <v>23.5</v>
      </c>
      <c r="F249">
        <v>8.6</v>
      </c>
      <c r="G249">
        <v>77.400000000000006</v>
      </c>
      <c r="H249">
        <v>89.5</v>
      </c>
      <c r="I249">
        <v>11.5</v>
      </c>
      <c r="J249">
        <v>31.7</v>
      </c>
      <c r="K249">
        <v>12.2</v>
      </c>
      <c r="L249">
        <v>102.180223277</v>
      </c>
      <c r="M249">
        <v>28.4</v>
      </c>
      <c r="N249">
        <v>47.2</v>
      </c>
    </row>
    <row r="250" spans="1:14" x14ac:dyDescent="0.2">
      <c r="A250" t="s">
        <v>954</v>
      </c>
      <c r="B250">
        <v>572233</v>
      </c>
      <c r="C250">
        <v>2026</v>
      </c>
      <c r="D250">
        <v>20</v>
      </c>
      <c r="E250">
        <v>22.5</v>
      </c>
      <c r="F250">
        <v>8.3000000000000007</v>
      </c>
      <c r="G250">
        <v>74.3</v>
      </c>
      <c r="H250">
        <v>89.6</v>
      </c>
      <c r="I250">
        <v>15</v>
      </c>
      <c r="J250">
        <v>31.5</v>
      </c>
      <c r="K250">
        <v>10</v>
      </c>
      <c r="L250">
        <v>101.184864593</v>
      </c>
      <c r="M250">
        <v>28.9</v>
      </c>
      <c r="N250">
        <v>50.2</v>
      </c>
    </row>
    <row r="251" spans="1:14" x14ac:dyDescent="0.2">
      <c r="A251" t="s">
        <v>955</v>
      </c>
      <c r="B251">
        <v>643396</v>
      </c>
      <c r="C251">
        <v>2026</v>
      </c>
      <c r="D251">
        <v>2</v>
      </c>
      <c r="E251">
        <v>13.6</v>
      </c>
      <c r="F251">
        <v>9.1</v>
      </c>
      <c r="G251">
        <v>68.8</v>
      </c>
      <c r="H251">
        <v>82.3</v>
      </c>
      <c r="I251">
        <v>10.199999999999999</v>
      </c>
      <c r="J251">
        <v>37.299999999999997</v>
      </c>
      <c r="K251">
        <v>3</v>
      </c>
      <c r="L251">
        <v>94.875340203999997</v>
      </c>
      <c r="M251">
        <v>17.600000000000001</v>
      </c>
      <c r="N251">
        <v>49.5</v>
      </c>
    </row>
    <row r="252" spans="1:14" x14ac:dyDescent="0.2">
      <c r="A252" t="s">
        <v>956</v>
      </c>
      <c r="B252">
        <v>640492</v>
      </c>
      <c r="C252">
        <v>2026</v>
      </c>
      <c r="D252">
        <v>0</v>
      </c>
      <c r="E252">
        <v>22.2</v>
      </c>
      <c r="F252">
        <v>5.6</v>
      </c>
      <c r="G252">
        <v>69.5</v>
      </c>
      <c r="H252">
        <v>87.3</v>
      </c>
      <c r="I252">
        <v>5.8</v>
      </c>
      <c r="J252">
        <v>30.8</v>
      </c>
      <c r="K252">
        <v>0</v>
      </c>
      <c r="L252">
        <v>96.457345000000004</v>
      </c>
      <c r="M252">
        <v>27.5</v>
      </c>
      <c r="N252">
        <v>58</v>
      </c>
    </row>
    <row r="253" spans="1:14" x14ac:dyDescent="0.2">
      <c r="A253" t="s">
        <v>957</v>
      </c>
      <c r="B253">
        <v>665926</v>
      </c>
      <c r="C253">
        <v>2026</v>
      </c>
      <c r="D253">
        <v>7</v>
      </c>
      <c r="E253">
        <v>19.2</v>
      </c>
      <c r="F253">
        <v>3.5</v>
      </c>
      <c r="G253">
        <v>68</v>
      </c>
      <c r="H253">
        <v>86.4</v>
      </c>
      <c r="I253">
        <v>12.4</v>
      </c>
      <c r="J253">
        <v>29.5</v>
      </c>
      <c r="K253">
        <v>3.4</v>
      </c>
      <c r="L253">
        <v>95.643370531000002</v>
      </c>
      <c r="M253">
        <v>25.1</v>
      </c>
      <c r="N253">
        <v>56.9</v>
      </c>
    </row>
    <row r="254" spans="1:14" x14ac:dyDescent="0.2">
      <c r="A254" t="s">
        <v>958</v>
      </c>
      <c r="B254">
        <v>664238</v>
      </c>
      <c r="C254">
        <v>2026</v>
      </c>
      <c r="D254">
        <v>0</v>
      </c>
      <c r="E254">
        <v>40</v>
      </c>
      <c r="F254">
        <v>20</v>
      </c>
      <c r="G254">
        <v>73.2</v>
      </c>
      <c r="H254">
        <v>91.3</v>
      </c>
      <c r="I254">
        <v>41.6</v>
      </c>
      <c r="J254">
        <v>50</v>
      </c>
      <c r="K254">
        <v>0</v>
      </c>
      <c r="L254">
        <v>96.896296667000001</v>
      </c>
      <c r="M254">
        <v>29.4</v>
      </c>
      <c r="N254">
        <v>42</v>
      </c>
    </row>
    <row r="255" spans="1:14" x14ac:dyDescent="0.2">
      <c r="A255" t="s">
        <v>959</v>
      </c>
      <c r="B255">
        <v>628451</v>
      </c>
      <c r="C255">
        <v>2026</v>
      </c>
      <c r="D255">
        <v>0</v>
      </c>
      <c r="E255">
        <v>11.5</v>
      </c>
      <c r="F255">
        <v>3.8</v>
      </c>
      <c r="G255">
        <v>70.7</v>
      </c>
      <c r="H255">
        <v>86.3</v>
      </c>
      <c r="I255">
        <v>13.6</v>
      </c>
      <c r="J255">
        <v>22.7</v>
      </c>
      <c r="K255">
        <v>0</v>
      </c>
      <c r="L255">
        <v>94.855231817999993</v>
      </c>
      <c r="M255">
        <v>19.2</v>
      </c>
      <c r="N255">
        <v>65.8</v>
      </c>
    </row>
    <row r="256" spans="1:14" x14ac:dyDescent="0.2">
      <c r="A256" t="s">
        <v>960</v>
      </c>
      <c r="B256">
        <v>691718</v>
      </c>
      <c r="C256">
        <v>2026</v>
      </c>
      <c r="D256">
        <v>21</v>
      </c>
      <c r="E256">
        <v>25.8</v>
      </c>
      <c r="F256">
        <v>11.2</v>
      </c>
      <c r="G256">
        <v>74.8</v>
      </c>
      <c r="H256">
        <v>90.2</v>
      </c>
      <c r="I256">
        <v>20.100000000000001</v>
      </c>
      <c r="J256">
        <v>36.4</v>
      </c>
      <c r="K256">
        <v>10.7</v>
      </c>
      <c r="L256">
        <v>102.19620959300001</v>
      </c>
      <c r="M256">
        <v>28.4</v>
      </c>
      <c r="N256">
        <v>50.4</v>
      </c>
    </row>
    <row r="257" spans="1:14" x14ac:dyDescent="0.2">
      <c r="A257" t="s">
        <v>961</v>
      </c>
      <c r="B257">
        <v>663494</v>
      </c>
      <c r="C257">
        <v>2026</v>
      </c>
      <c r="D257">
        <v>4</v>
      </c>
      <c r="E257">
        <v>21.9</v>
      </c>
      <c r="F257">
        <v>6.8</v>
      </c>
      <c r="G257">
        <v>66.2</v>
      </c>
      <c r="H257">
        <v>86.6</v>
      </c>
      <c r="I257">
        <v>12.1</v>
      </c>
      <c r="J257">
        <v>40.4</v>
      </c>
      <c r="K257">
        <v>8</v>
      </c>
      <c r="L257">
        <v>97.044229999999999</v>
      </c>
      <c r="M257">
        <v>21.3</v>
      </c>
      <c r="N257">
        <v>47.8</v>
      </c>
    </row>
    <row r="258" spans="1:14" x14ac:dyDescent="0.2">
      <c r="A258" t="s">
        <v>962</v>
      </c>
      <c r="B258">
        <v>672580</v>
      </c>
      <c r="C258">
        <v>2026</v>
      </c>
      <c r="D258">
        <v>3</v>
      </c>
      <c r="E258">
        <v>15.3</v>
      </c>
      <c r="F258">
        <v>8.1999999999999993</v>
      </c>
      <c r="G258">
        <v>72</v>
      </c>
      <c r="H258">
        <v>90.1</v>
      </c>
      <c r="I258">
        <v>9.1999999999999993</v>
      </c>
      <c r="J258">
        <v>32.9</v>
      </c>
      <c r="K258">
        <v>4.9000000000000004</v>
      </c>
      <c r="L258">
        <v>100.400072143</v>
      </c>
      <c r="M258">
        <v>14.2</v>
      </c>
      <c r="N258">
        <v>39.200000000000003</v>
      </c>
    </row>
    <row r="259" spans="1:14" x14ac:dyDescent="0.2">
      <c r="A259" t="s">
        <v>963</v>
      </c>
      <c r="B259">
        <v>502054</v>
      </c>
      <c r="C259">
        <v>2026</v>
      </c>
      <c r="D259">
        <v>0</v>
      </c>
      <c r="E259">
        <v>50</v>
      </c>
      <c r="F259">
        <v>7.1</v>
      </c>
      <c r="G259">
        <v>69.3</v>
      </c>
      <c r="H259">
        <v>91.7</v>
      </c>
      <c r="I259">
        <v>10.5</v>
      </c>
      <c r="J259">
        <v>16.7</v>
      </c>
      <c r="K259">
        <v>0</v>
      </c>
      <c r="L259">
        <v>100.56303333300001</v>
      </c>
      <c r="M259">
        <v>37</v>
      </c>
      <c r="N259">
        <v>45</v>
      </c>
    </row>
    <row r="260" spans="1:14" x14ac:dyDescent="0.2">
      <c r="A260" t="s">
        <v>964</v>
      </c>
      <c r="B260">
        <v>691458</v>
      </c>
      <c r="C260">
        <v>2026</v>
      </c>
      <c r="D260">
        <v>1</v>
      </c>
      <c r="E260">
        <v>14.5</v>
      </c>
      <c r="F260">
        <v>3.6</v>
      </c>
      <c r="G260">
        <v>72.900000000000006</v>
      </c>
      <c r="H260">
        <v>88.7</v>
      </c>
      <c r="I260">
        <v>8.8000000000000007</v>
      </c>
      <c r="J260">
        <v>27.9</v>
      </c>
      <c r="K260">
        <v>7.4</v>
      </c>
      <c r="L260">
        <v>99.853934706000004</v>
      </c>
      <c r="M260">
        <v>20.5</v>
      </c>
      <c r="N260">
        <v>52.9</v>
      </c>
    </row>
    <row r="261" spans="1:14" x14ac:dyDescent="0.2">
      <c r="A261" t="s">
        <v>965</v>
      </c>
      <c r="B261">
        <v>686948</v>
      </c>
      <c r="C261">
        <v>2026</v>
      </c>
      <c r="D261">
        <v>15</v>
      </c>
      <c r="E261">
        <v>22.3</v>
      </c>
      <c r="F261">
        <v>10</v>
      </c>
      <c r="G261">
        <v>75</v>
      </c>
      <c r="H261">
        <v>91.4</v>
      </c>
      <c r="I261">
        <v>11.4</v>
      </c>
      <c r="J261">
        <v>37.799999999999997</v>
      </c>
      <c r="K261">
        <v>15.3</v>
      </c>
      <c r="L261">
        <v>102.532693333</v>
      </c>
      <c r="M261">
        <v>24.3</v>
      </c>
      <c r="N261">
        <v>49.5</v>
      </c>
    </row>
    <row r="262" spans="1:14" x14ac:dyDescent="0.2">
      <c r="A262" t="s">
        <v>966</v>
      </c>
      <c r="B262">
        <v>686527</v>
      </c>
      <c r="C262">
        <v>2026</v>
      </c>
      <c r="D262">
        <v>15</v>
      </c>
      <c r="E262">
        <v>20.9</v>
      </c>
      <c r="F262">
        <v>8.6999999999999993</v>
      </c>
      <c r="G262">
        <v>74.8</v>
      </c>
      <c r="H262">
        <v>92.8</v>
      </c>
      <c r="I262">
        <v>9.6</v>
      </c>
      <c r="J262">
        <v>35.799999999999997</v>
      </c>
      <c r="K262">
        <v>15.3</v>
      </c>
      <c r="L262">
        <v>103.440526705</v>
      </c>
      <c r="M262">
        <v>28.5</v>
      </c>
      <c r="N262">
        <v>46.3</v>
      </c>
    </row>
    <row r="263" spans="1:14" x14ac:dyDescent="0.2">
      <c r="A263" t="s">
        <v>967</v>
      </c>
      <c r="B263">
        <v>670042</v>
      </c>
      <c r="C263">
        <v>2026</v>
      </c>
      <c r="D263">
        <v>14</v>
      </c>
      <c r="E263">
        <v>32.4</v>
      </c>
      <c r="F263">
        <v>5</v>
      </c>
      <c r="G263">
        <v>75.099999999999994</v>
      </c>
      <c r="H263">
        <v>90.6</v>
      </c>
      <c r="I263">
        <v>15.5</v>
      </c>
      <c r="J263">
        <v>39.4</v>
      </c>
      <c r="K263">
        <v>16.100000000000001</v>
      </c>
      <c r="L263">
        <v>102.280118667</v>
      </c>
      <c r="M263">
        <v>40.700000000000003</v>
      </c>
      <c r="N263">
        <v>54</v>
      </c>
    </row>
    <row r="264" spans="1:14" x14ac:dyDescent="0.2">
      <c r="A264" t="s">
        <v>968</v>
      </c>
      <c r="B264">
        <v>701398</v>
      </c>
      <c r="C264">
        <v>2026</v>
      </c>
      <c r="D264">
        <v>19</v>
      </c>
      <c r="E264">
        <v>21</v>
      </c>
      <c r="F264">
        <v>10.9</v>
      </c>
      <c r="G264">
        <v>72.599999999999994</v>
      </c>
      <c r="H264">
        <v>90.6</v>
      </c>
      <c r="I264">
        <v>13.8</v>
      </c>
      <c r="J264">
        <v>33.9</v>
      </c>
      <c r="K264">
        <v>14.9</v>
      </c>
      <c r="L264">
        <v>100.93836563000001</v>
      </c>
      <c r="M264">
        <v>27.3</v>
      </c>
      <c r="N264">
        <v>47.3</v>
      </c>
    </row>
    <row r="265" spans="1:14" x14ac:dyDescent="0.2">
      <c r="A265" t="s">
        <v>969</v>
      </c>
      <c r="B265">
        <v>624641</v>
      </c>
      <c r="C265">
        <v>2026</v>
      </c>
      <c r="D265">
        <v>5</v>
      </c>
      <c r="E265">
        <v>20.399999999999999</v>
      </c>
      <c r="F265">
        <v>3.1</v>
      </c>
      <c r="G265">
        <v>72.2</v>
      </c>
      <c r="H265">
        <v>87.9</v>
      </c>
      <c r="I265">
        <v>9.8000000000000007</v>
      </c>
      <c r="J265">
        <v>33.9</v>
      </c>
      <c r="K265">
        <v>7.6</v>
      </c>
      <c r="L265">
        <v>100.05881372899999</v>
      </c>
      <c r="M265">
        <v>25.3</v>
      </c>
      <c r="N265">
        <v>61.3</v>
      </c>
    </row>
    <row r="266" spans="1:14" x14ac:dyDescent="0.2">
      <c r="A266" t="s">
        <v>970</v>
      </c>
      <c r="B266">
        <v>683953</v>
      </c>
      <c r="C266">
        <v>2026</v>
      </c>
      <c r="D266">
        <v>7</v>
      </c>
      <c r="E266">
        <v>21.6</v>
      </c>
      <c r="F266">
        <v>11.3</v>
      </c>
      <c r="G266">
        <v>69.8</v>
      </c>
      <c r="H266">
        <v>88.1</v>
      </c>
      <c r="I266">
        <v>14.5</v>
      </c>
      <c r="J266">
        <v>28</v>
      </c>
      <c r="K266">
        <v>4.3</v>
      </c>
      <c r="L266">
        <v>98.535862717000001</v>
      </c>
      <c r="M266">
        <v>27.1</v>
      </c>
      <c r="N266">
        <v>44.5</v>
      </c>
    </row>
    <row r="267" spans="1:14" x14ac:dyDescent="0.2">
      <c r="A267" t="s">
        <v>971</v>
      </c>
      <c r="B267">
        <v>640902</v>
      </c>
      <c r="C267">
        <v>2026</v>
      </c>
      <c r="D267">
        <v>2</v>
      </c>
      <c r="E267">
        <v>16.2</v>
      </c>
      <c r="F267">
        <v>5.9</v>
      </c>
      <c r="G267">
        <v>70.599999999999994</v>
      </c>
      <c r="H267">
        <v>89.8</v>
      </c>
      <c r="I267">
        <v>9.6999999999999993</v>
      </c>
      <c r="J267">
        <v>46.2</v>
      </c>
      <c r="K267">
        <v>3.8</v>
      </c>
      <c r="L267">
        <v>100.18580615400001</v>
      </c>
      <c r="M267">
        <v>18.2</v>
      </c>
      <c r="N267">
        <v>49.5</v>
      </c>
    </row>
    <row r="268" spans="1:14" x14ac:dyDescent="0.2">
      <c r="A268" t="s">
        <v>972</v>
      </c>
      <c r="B268">
        <v>701678</v>
      </c>
      <c r="C268">
        <v>2026</v>
      </c>
      <c r="D268">
        <v>4</v>
      </c>
      <c r="E268">
        <v>26.1</v>
      </c>
      <c r="F268">
        <v>4.5</v>
      </c>
      <c r="G268">
        <v>70.7</v>
      </c>
      <c r="H268">
        <v>87.4</v>
      </c>
      <c r="I268">
        <v>14.9</v>
      </c>
      <c r="J268">
        <v>35.799999999999997</v>
      </c>
      <c r="K268">
        <v>7.3</v>
      </c>
      <c r="L268">
        <v>98.607282221999995</v>
      </c>
      <c r="M268">
        <v>29.7</v>
      </c>
      <c r="N268">
        <v>50.8</v>
      </c>
    </row>
    <row r="269" spans="1:14" x14ac:dyDescent="0.2">
      <c r="A269" t="s">
        <v>973</v>
      </c>
      <c r="B269">
        <v>657757</v>
      </c>
      <c r="C269">
        <v>2026</v>
      </c>
      <c r="D269">
        <v>14</v>
      </c>
      <c r="E269">
        <v>21.7</v>
      </c>
      <c r="F269">
        <v>11.8</v>
      </c>
      <c r="G269">
        <v>74.3</v>
      </c>
      <c r="H269">
        <v>88.2</v>
      </c>
      <c r="I269">
        <v>12.6</v>
      </c>
      <c r="J269">
        <v>34.299999999999997</v>
      </c>
      <c r="K269">
        <v>7.6</v>
      </c>
      <c r="L269">
        <v>99.433776094999999</v>
      </c>
      <c r="M269">
        <v>20.8</v>
      </c>
      <c r="N269">
        <v>42.7</v>
      </c>
    </row>
    <row r="270" spans="1:14" x14ac:dyDescent="0.2">
      <c r="A270" t="s">
        <v>974</v>
      </c>
      <c r="B270">
        <v>593428</v>
      </c>
      <c r="C270">
        <v>2026</v>
      </c>
      <c r="D270">
        <v>9</v>
      </c>
      <c r="E270">
        <v>19</v>
      </c>
      <c r="F270">
        <v>11.3</v>
      </c>
      <c r="G270">
        <v>72.3</v>
      </c>
      <c r="H270">
        <v>88.1</v>
      </c>
      <c r="I270">
        <v>5.4</v>
      </c>
      <c r="J270">
        <v>28</v>
      </c>
      <c r="K270">
        <v>6.4</v>
      </c>
      <c r="L270">
        <v>99.529153280000003</v>
      </c>
      <c r="M270">
        <v>23.2</v>
      </c>
      <c r="N270">
        <v>41.9</v>
      </c>
    </row>
    <row r="271" spans="1:14" x14ac:dyDescent="0.2">
      <c r="A271" t="s">
        <v>975</v>
      </c>
      <c r="B271">
        <v>694410</v>
      </c>
      <c r="C271">
        <v>2026</v>
      </c>
      <c r="D271">
        <v>1</v>
      </c>
      <c r="E271">
        <v>20.399999999999999</v>
      </c>
      <c r="F271">
        <v>9.3000000000000007</v>
      </c>
      <c r="G271">
        <v>71.099999999999994</v>
      </c>
      <c r="H271">
        <v>90</v>
      </c>
      <c r="I271">
        <v>16.7</v>
      </c>
      <c r="J271">
        <v>24.3</v>
      </c>
      <c r="K271">
        <v>11.1</v>
      </c>
      <c r="L271">
        <v>99.527479999999997</v>
      </c>
      <c r="M271">
        <v>16.100000000000001</v>
      </c>
      <c r="N271">
        <v>41.8</v>
      </c>
    </row>
    <row r="272" spans="1:14" x14ac:dyDescent="0.2">
      <c r="A272" t="s">
        <v>976</v>
      </c>
      <c r="B272">
        <v>694025</v>
      </c>
      <c r="C272">
        <v>2026</v>
      </c>
      <c r="D272">
        <v>1</v>
      </c>
      <c r="E272">
        <v>23.7</v>
      </c>
      <c r="F272">
        <v>0</v>
      </c>
      <c r="G272">
        <v>75.5</v>
      </c>
      <c r="H272">
        <v>89.2</v>
      </c>
      <c r="I272">
        <v>6.4</v>
      </c>
      <c r="J272">
        <v>37.9</v>
      </c>
      <c r="K272">
        <v>6.9</v>
      </c>
      <c r="L272">
        <v>98.874941332999995</v>
      </c>
      <c r="M272">
        <v>27.5</v>
      </c>
      <c r="N272">
        <v>58.5</v>
      </c>
    </row>
    <row r="273" spans="1:14" x14ac:dyDescent="0.2">
      <c r="A273" t="s">
        <v>977</v>
      </c>
      <c r="B273">
        <v>681807</v>
      </c>
      <c r="C273">
        <v>2026</v>
      </c>
      <c r="D273">
        <v>6</v>
      </c>
      <c r="E273">
        <v>30.9</v>
      </c>
      <c r="F273">
        <v>14.1</v>
      </c>
      <c r="G273">
        <v>71</v>
      </c>
      <c r="H273">
        <v>85.8</v>
      </c>
      <c r="I273">
        <v>17.100000000000001</v>
      </c>
      <c r="J273">
        <v>26.8</v>
      </c>
      <c r="K273">
        <v>7.3</v>
      </c>
      <c r="L273">
        <v>97.328809512000007</v>
      </c>
      <c r="M273">
        <v>30.7</v>
      </c>
      <c r="N273">
        <v>42.7</v>
      </c>
    </row>
    <row r="274" spans="1:14" x14ac:dyDescent="0.2">
      <c r="A274" t="s">
        <v>978</v>
      </c>
      <c r="B274">
        <v>686765</v>
      </c>
      <c r="C274">
        <v>2026</v>
      </c>
      <c r="D274">
        <v>0</v>
      </c>
      <c r="E274">
        <v>14.6</v>
      </c>
      <c r="F274">
        <v>12.2</v>
      </c>
      <c r="G274">
        <v>68.599999999999994</v>
      </c>
      <c r="H274">
        <v>81.599999999999994</v>
      </c>
      <c r="I274">
        <v>8.6</v>
      </c>
      <c r="J274">
        <v>33.299999999999997</v>
      </c>
      <c r="K274">
        <v>0</v>
      </c>
      <c r="L274">
        <v>92.160866428999995</v>
      </c>
      <c r="M274">
        <v>18.3</v>
      </c>
      <c r="N274">
        <v>38.200000000000003</v>
      </c>
    </row>
    <row r="275" spans="1:14" x14ac:dyDescent="0.2">
      <c r="A275" t="s">
        <v>979</v>
      </c>
      <c r="B275">
        <v>677942</v>
      </c>
      <c r="C275">
        <v>2026</v>
      </c>
      <c r="D275">
        <v>4</v>
      </c>
      <c r="E275">
        <v>22</v>
      </c>
      <c r="F275">
        <v>6.5</v>
      </c>
      <c r="G275">
        <v>72.400000000000006</v>
      </c>
      <c r="H275">
        <v>92.6</v>
      </c>
      <c r="I275">
        <v>9.9</v>
      </c>
      <c r="J275">
        <v>42.4</v>
      </c>
      <c r="K275">
        <v>7.2</v>
      </c>
      <c r="L275">
        <v>100.733289383</v>
      </c>
      <c r="M275">
        <v>25.9</v>
      </c>
      <c r="N275">
        <v>56.1</v>
      </c>
    </row>
    <row r="276" spans="1:14" x14ac:dyDescent="0.2">
      <c r="A276" t="s">
        <v>980</v>
      </c>
      <c r="B276">
        <v>602104</v>
      </c>
      <c r="C276">
        <v>2026</v>
      </c>
      <c r="D276">
        <v>2</v>
      </c>
      <c r="E276">
        <v>17.600000000000001</v>
      </c>
      <c r="F276">
        <v>8.8000000000000007</v>
      </c>
      <c r="G276">
        <v>70.2</v>
      </c>
      <c r="H276">
        <v>89.5</v>
      </c>
      <c r="I276">
        <v>17.7</v>
      </c>
      <c r="J276">
        <v>30.4</v>
      </c>
      <c r="K276">
        <v>10.9</v>
      </c>
      <c r="L276">
        <v>98.964138261000002</v>
      </c>
      <c r="M276">
        <v>23.5</v>
      </c>
      <c r="N276">
        <v>48.5</v>
      </c>
    </row>
    <row r="277" spans="1:14" x14ac:dyDescent="0.2">
      <c r="A277" t="s">
        <v>981</v>
      </c>
      <c r="B277">
        <v>669065</v>
      </c>
      <c r="C277">
        <v>2026</v>
      </c>
      <c r="D277">
        <v>12</v>
      </c>
      <c r="E277">
        <v>31.5</v>
      </c>
      <c r="F277">
        <v>9.1999999999999993</v>
      </c>
      <c r="G277">
        <v>75.2</v>
      </c>
      <c r="H277">
        <v>91.8</v>
      </c>
      <c r="I277">
        <v>16.2</v>
      </c>
      <c r="J277">
        <v>34.9</v>
      </c>
      <c r="K277">
        <v>12</v>
      </c>
      <c r="L277">
        <v>103.192517356</v>
      </c>
      <c r="M277">
        <v>35.299999999999997</v>
      </c>
      <c r="N277">
        <v>52.6</v>
      </c>
    </row>
    <row r="278" spans="1:14" x14ac:dyDescent="0.2">
      <c r="A278" t="s">
        <v>982</v>
      </c>
      <c r="B278">
        <v>664040</v>
      </c>
      <c r="C278">
        <v>2026</v>
      </c>
      <c r="D278">
        <v>21</v>
      </c>
      <c r="E278">
        <v>26.6</v>
      </c>
      <c r="F278">
        <v>9.1999999999999993</v>
      </c>
      <c r="G278">
        <v>73.7</v>
      </c>
      <c r="H278">
        <v>90.9</v>
      </c>
      <c r="I278">
        <v>16.899999999999999</v>
      </c>
      <c r="J278">
        <v>36.299999999999997</v>
      </c>
      <c r="K278">
        <v>12.5</v>
      </c>
      <c r="L278">
        <v>101.453117969</v>
      </c>
      <c r="M278">
        <v>34.4</v>
      </c>
      <c r="N278">
        <v>50.9</v>
      </c>
    </row>
    <row r="279" spans="1:14" x14ac:dyDescent="0.2">
      <c r="A279" t="s">
        <v>983</v>
      </c>
      <c r="B279">
        <v>669289</v>
      </c>
      <c r="C279">
        <v>2026</v>
      </c>
      <c r="D279">
        <v>1</v>
      </c>
      <c r="E279">
        <v>13.3</v>
      </c>
      <c r="F279">
        <v>1.7</v>
      </c>
      <c r="G279">
        <v>68.3</v>
      </c>
      <c r="H279">
        <v>86.2</v>
      </c>
      <c r="I279">
        <v>14.2</v>
      </c>
      <c r="J279">
        <v>45.1</v>
      </c>
      <c r="K279">
        <v>2</v>
      </c>
      <c r="L279">
        <v>96.563089582999993</v>
      </c>
      <c r="M279">
        <v>18.8</v>
      </c>
      <c r="N279">
        <v>50</v>
      </c>
    </row>
    <row r="280" spans="1:14" x14ac:dyDescent="0.2">
      <c r="A280" t="s">
        <v>984</v>
      </c>
      <c r="B280">
        <v>645277</v>
      </c>
      <c r="C280">
        <v>2026</v>
      </c>
      <c r="D280">
        <v>14</v>
      </c>
      <c r="E280">
        <v>13.4</v>
      </c>
      <c r="F280">
        <v>7.1</v>
      </c>
      <c r="G280">
        <v>69.099999999999994</v>
      </c>
      <c r="H280">
        <v>87.2</v>
      </c>
      <c r="I280">
        <v>17.5</v>
      </c>
      <c r="J280">
        <v>34.5</v>
      </c>
      <c r="K280">
        <v>4.0999999999999996</v>
      </c>
      <c r="L280">
        <v>96.792312766999999</v>
      </c>
      <c r="M280">
        <v>20.3</v>
      </c>
      <c r="N280">
        <v>55.5</v>
      </c>
    </row>
    <row r="281" spans="1:14" x14ac:dyDescent="0.2">
      <c r="A281" t="s">
        <v>985</v>
      </c>
      <c r="B281">
        <v>664731</v>
      </c>
      <c r="C281">
        <v>2026</v>
      </c>
      <c r="D281">
        <v>0</v>
      </c>
      <c r="E281">
        <v>25</v>
      </c>
      <c r="F281">
        <v>6.3</v>
      </c>
      <c r="G281">
        <v>66.8</v>
      </c>
      <c r="H281">
        <v>83.6</v>
      </c>
      <c r="I281">
        <v>24.5</v>
      </c>
      <c r="J281">
        <v>45.5</v>
      </c>
      <c r="K281">
        <v>0</v>
      </c>
      <c r="L281">
        <v>92.126883000000007</v>
      </c>
      <c r="M281">
        <v>25.5</v>
      </c>
      <c r="N281">
        <v>39.799999999999997</v>
      </c>
    </row>
    <row r="282" spans="1:14" x14ac:dyDescent="0.2">
      <c r="A282" t="s">
        <v>986</v>
      </c>
      <c r="B282">
        <v>678218</v>
      </c>
      <c r="C282">
        <v>2026</v>
      </c>
      <c r="D282">
        <v>7</v>
      </c>
      <c r="E282">
        <v>25</v>
      </c>
      <c r="F282">
        <v>10.9</v>
      </c>
      <c r="G282">
        <v>72.7</v>
      </c>
      <c r="H282">
        <v>88</v>
      </c>
      <c r="I282">
        <v>16.2</v>
      </c>
      <c r="J282">
        <v>39.799999999999997</v>
      </c>
      <c r="K282">
        <v>7.6</v>
      </c>
      <c r="L282">
        <v>98.714738792999995</v>
      </c>
      <c r="M282">
        <v>24.9</v>
      </c>
      <c r="N282">
        <v>49.5</v>
      </c>
    </row>
    <row r="283" spans="1:14" x14ac:dyDescent="0.2">
      <c r="A283" t="s">
        <v>987</v>
      </c>
      <c r="B283">
        <v>802139</v>
      </c>
      <c r="C283">
        <v>2026</v>
      </c>
      <c r="D283">
        <v>13</v>
      </c>
      <c r="E283">
        <v>15.7</v>
      </c>
      <c r="F283">
        <v>9.8000000000000007</v>
      </c>
      <c r="G283">
        <v>72.400000000000006</v>
      </c>
      <c r="H283">
        <v>90</v>
      </c>
      <c r="I283">
        <v>13.7</v>
      </c>
      <c r="J283">
        <v>37</v>
      </c>
      <c r="K283">
        <v>7.3</v>
      </c>
      <c r="L283">
        <v>99.434265874000005</v>
      </c>
      <c r="M283">
        <v>20.2</v>
      </c>
      <c r="N283">
        <v>43.5</v>
      </c>
    </row>
    <row r="284" spans="1:14" x14ac:dyDescent="0.2">
      <c r="A284" t="s">
        <v>988</v>
      </c>
      <c r="B284">
        <v>671976</v>
      </c>
      <c r="C284">
        <v>2026</v>
      </c>
      <c r="D284">
        <v>6</v>
      </c>
      <c r="E284">
        <v>17.8</v>
      </c>
      <c r="F284">
        <v>6.5</v>
      </c>
      <c r="G284">
        <v>69.7</v>
      </c>
      <c r="H284">
        <v>87.2</v>
      </c>
      <c r="I284">
        <v>16.2</v>
      </c>
      <c r="J284">
        <v>34.6</v>
      </c>
      <c r="K284">
        <v>4.9000000000000004</v>
      </c>
      <c r="L284">
        <v>97.812501488999999</v>
      </c>
      <c r="M284">
        <v>21.6</v>
      </c>
      <c r="N284">
        <v>55.9</v>
      </c>
    </row>
    <row r="285" spans="1:14" x14ac:dyDescent="0.2">
      <c r="A285" t="s">
        <v>989</v>
      </c>
      <c r="B285">
        <v>687551</v>
      </c>
      <c r="C285">
        <v>2026</v>
      </c>
      <c r="D285">
        <v>4</v>
      </c>
      <c r="E285">
        <v>17.100000000000001</v>
      </c>
      <c r="F285">
        <v>8.8000000000000007</v>
      </c>
      <c r="G285">
        <v>69.8</v>
      </c>
      <c r="H285">
        <v>85.3</v>
      </c>
      <c r="I285">
        <v>14.6</v>
      </c>
      <c r="J285">
        <v>34</v>
      </c>
      <c r="K285">
        <v>1.9</v>
      </c>
      <c r="L285">
        <v>96.804414800000004</v>
      </c>
      <c r="M285">
        <v>21.6</v>
      </c>
      <c r="N285">
        <v>41.8</v>
      </c>
    </row>
    <row r="286" spans="1:14" x14ac:dyDescent="0.2">
      <c r="A286" t="s">
        <v>990</v>
      </c>
      <c r="B286">
        <v>679822</v>
      </c>
      <c r="C286">
        <v>2026</v>
      </c>
      <c r="D286">
        <v>7</v>
      </c>
      <c r="E286">
        <v>24.6</v>
      </c>
      <c r="F286">
        <v>8.5</v>
      </c>
      <c r="G286">
        <v>70.7</v>
      </c>
      <c r="H286">
        <v>89.4</v>
      </c>
      <c r="I286">
        <v>17.899999999999999</v>
      </c>
      <c r="J286">
        <v>39</v>
      </c>
      <c r="K286">
        <v>13</v>
      </c>
      <c r="L286">
        <v>99.941530768999996</v>
      </c>
      <c r="M286">
        <v>21</v>
      </c>
      <c r="N286">
        <v>44</v>
      </c>
    </row>
    <row r="287" spans="1:14" x14ac:dyDescent="0.2">
      <c r="A287" t="s">
        <v>991</v>
      </c>
      <c r="B287">
        <v>663698</v>
      </c>
      <c r="C287">
        <v>2026</v>
      </c>
      <c r="D287">
        <v>4</v>
      </c>
      <c r="E287">
        <v>28.1</v>
      </c>
      <c r="F287">
        <v>3.1</v>
      </c>
      <c r="G287">
        <v>75.3</v>
      </c>
      <c r="H287">
        <v>86.7</v>
      </c>
      <c r="I287">
        <v>13.8</v>
      </c>
      <c r="J287">
        <v>35.5</v>
      </c>
      <c r="K287">
        <v>9.6999999999999993</v>
      </c>
      <c r="L287">
        <v>98.593852580999993</v>
      </c>
      <c r="M287">
        <v>26.6</v>
      </c>
      <c r="N287">
        <v>47.8</v>
      </c>
    </row>
    <row r="288" spans="1:14" x14ac:dyDescent="0.2">
      <c r="A288" t="s">
        <v>992</v>
      </c>
      <c r="B288">
        <v>805347</v>
      </c>
      <c r="C288">
        <v>2026</v>
      </c>
      <c r="D288">
        <v>1</v>
      </c>
      <c r="E288">
        <v>21.9</v>
      </c>
      <c r="F288">
        <v>3.1</v>
      </c>
      <c r="G288">
        <v>70.900000000000006</v>
      </c>
      <c r="H288">
        <v>85.5</v>
      </c>
      <c r="I288">
        <v>5.0999999999999996</v>
      </c>
      <c r="J288">
        <v>29.2</v>
      </c>
      <c r="K288">
        <v>8.3000000000000007</v>
      </c>
      <c r="L288">
        <v>96.013036666999994</v>
      </c>
      <c r="M288">
        <v>15.9</v>
      </c>
      <c r="N288">
        <v>47.4</v>
      </c>
    </row>
    <row r="289" spans="1:14" x14ac:dyDescent="0.2">
      <c r="A289" t="s">
        <v>993</v>
      </c>
      <c r="B289">
        <v>678246</v>
      </c>
      <c r="C289">
        <v>2026</v>
      </c>
      <c r="D289">
        <v>21</v>
      </c>
      <c r="E289">
        <v>16.399999999999999</v>
      </c>
      <c r="F289">
        <v>13.7</v>
      </c>
      <c r="G289">
        <v>74.099999999999994</v>
      </c>
      <c r="H289">
        <v>90.6</v>
      </c>
      <c r="I289">
        <v>19.7</v>
      </c>
      <c r="J289">
        <v>40.700000000000003</v>
      </c>
      <c r="K289">
        <v>15.4</v>
      </c>
      <c r="L289">
        <v>101.069696286</v>
      </c>
      <c r="M289">
        <v>19.600000000000001</v>
      </c>
      <c r="N289">
        <v>44.7</v>
      </c>
    </row>
    <row r="290" spans="1:14" x14ac:dyDescent="0.2">
      <c r="A290" t="s">
        <v>994</v>
      </c>
      <c r="B290">
        <v>669743</v>
      </c>
      <c r="C290">
        <v>2026</v>
      </c>
      <c r="D290">
        <v>1</v>
      </c>
      <c r="E290">
        <v>15.7</v>
      </c>
      <c r="F290">
        <v>12.7</v>
      </c>
      <c r="G290">
        <v>67.3</v>
      </c>
      <c r="H290">
        <v>83.6</v>
      </c>
      <c r="I290">
        <v>14.5</v>
      </c>
      <c r="J290">
        <v>23.7</v>
      </c>
      <c r="K290">
        <v>2.2000000000000002</v>
      </c>
      <c r="L290">
        <v>93.065807174</v>
      </c>
      <c r="M290">
        <v>15</v>
      </c>
      <c r="N290">
        <v>43</v>
      </c>
    </row>
    <row r="291" spans="1:14" x14ac:dyDescent="0.2">
      <c r="A291" t="s">
        <v>995</v>
      </c>
      <c r="B291">
        <v>621439</v>
      </c>
      <c r="C291">
        <v>2026</v>
      </c>
      <c r="D291">
        <v>25</v>
      </c>
      <c r="E291">
        <v>24.8</v>
      </c>
      <c r="F291">
        <v>6.9</v>
      </c>
      <c r="G291">
        <v>74.2</v>
      </c>
      <c r="H291">
        <v>90.7</v>
      </c>
      <c r="I291">
        <v>21.2</v>
      </c>
      <c r="J291">
        <v>32.9</v>
      </c>
      <c r="K291">
        <v>18.7</v>
      </c>
      <c r="L291">
        <v>102.006638584</v>
      </c>
      <c r="M291">
        <v>30.9</v>
      </c>
      <c r="N291">
        <v>52.7</v>
      </c>
    </row>
    <row r="292" spans="1:14" x14ac:dyDescent="0.2">
      <c r="A292" t="s">
        <v>996</v>
      </c>
      <c r="B292">
        <v>671655</v>
      </c>
      <c r="C292">
        <v>2026</v>
      </c>
      <c r="D292">
        <v>0</v>
      </c>
      <c r="E292">
        <v>21.1</v>
      </c>
      <c r="F292">
        <v>2.6</v>
      </c>
      <c r="G292">
        <v>72.3</v>
      </c>
      <c r="H292">
        <v>90.2</v>
      </c>
      <c r="I292">
        <v>9.6</v>
      </c>
      <c r="J292">
        <v>20.7</v>
      </c>
      <c r="K292">
        <v>0</v>
      </c>
      <c r="L292">
        <v>98.353313999999997</v>
      </c>
      <c r="M292">
        <v>22.1</v>
      </c>
      <c r="N292">
        <v>57.1</v>
      </c>
    </row>
    <row r="293" spans="1:14" x14ac:dyDescent="0.2">
      <c r="A293" t="s">
        <v>997</v>
      </c>
      <c r="B293">
        <v>693304</v>
      </c>
      <c r="C293">
        <v>2026</v>
      </c>
      <c r="D293">
        <v>4</v>
      </c>
      <c r="E293">
        <v>17.7</v>
      </c>
      <c r="F293">
        <v>7.5</v>
      </c>
      <c r="G293">
        <v>70.5</v>
      </c>
      <c r="H293">
        <v>85.8</v>
      </c>
      <c r="I293">
        <v>5.9</v>
      </c>
      <c r="J293">
        <v>33.700000000000003</v>
      </c>
      <c r="K293">
        <v>2.6</v>
      </c>
      <c r="L293">
        <v>97.963003852</v>
      </c>
      <c r="M293">
        <v>24.1</v>
      </c>
      <c r="N293">
        <v>52.9</v>
      </c>
    </row>
    <row r="294" spans="1:14" x14ac:dyDescent="0.2">
      <c r="A294" t="s">
        <v>998</v>
      </c>
      <c r="B294">
        <v>650391</v>
      </c>
      <c r="C294">
        <v>2026</v>
      </c>
      <c r="D294">
        <v>0</v>
      </c>
      <c r="E294">
        <v>20</v>
      </c>
      <c r="F294">
        <v>8.6</v>
      </c>
      <c r="G294">
        <v>72.7</v>
      </c>
      <c r="H294">
        <v>89.2</v>
      </c>
      <c r="I294">
        <v>5.6</v>
      </c>
      <c r="J294">
        <v>32</v>
      </c>
      <c r="K294">
        <v>4</v>
      </c>
      <c r="L294">
        <v>98.972092308000001</v>
      </c>
      <c r="M294">
        <v>29.9</v>
      </c>
      <c r="N294">
        <v>51.5</v>
      </c>
    </row>
    <row r="295" spans="1:14" x14ac:dyDescent="0.2">
      <c r="A295" t="s">
        <v>999</v>
      </c>
      <c r="B295">
        <v>694212</v>
      </c>
      <c r="C295">
        <v>2026</v>
      </c>
      <c r="D295">
        <v>16</v>
      </c>
      <c r="E295">
        <v>25.6</v>
      </c>
      <c r="F295">
        <v>8.3000000000000007</v>
      </c>
      <c r="G295">
        <v>74.599999999999994</v>
      </c>
      <c r="H295">
        <v>91.5</v>
      </c>
      <c r="I295">
        <v>11.3</v>
      </c>
      <c r="J295">
        <v>33.700000000000003</v>
      </c>
      <c r="K295">
        <v>13.1</v>
      </c>
      <c r="L295">
        <v>102.958993232</v>
      </c>
      <c r="M295">
        <v>31.1</v>
      </c>
      <c r="N295">
        <v>53.4</v>
      </c>
    </row>
    <row r="296" spans="1:14" x14ac:dyDescent="0.2">
      <c r="A296" t="s">
        <v>1000</v>
      </c>
      <c r="B296">
        <v>642708</v>
      </c>
      <c r="C296">
        <v>2026</v>
      </c>
      <c r="D296">
        <v>9</v>
      </c>
      <c r="E296">
        <v>24.2</v>
      </c>
      <c r="F296">
        <v>6.7</v>
      </c>
      <c r="G296">
        <v>74</v>
      </c>
      <c r="H296">
        <v>90.2</v>
      </c>
      <c r="I296">
        <v>13.3</v>
      </c>
      <c r="J296">
        <v>36.799999999999997</v>
      </c>
      <c r="K296">
        <v>11.4</v>
      </c>
      <c r="L296">
        <v>101.39143</v>
      </c>
      <c r="M296">
        <v>27.3</v>
      </c>
      <c r="N296">
        <v>53.6</v>
      </c>
    </row>
    <row r="297" spans="1:14" x14ac:dyDescent="0.2">
      <c r="A297" t="s">
        <v>1001</v>
      </c>
      <c r="B297">
        <v>671732</v>
      </c>
      <c r="C297">
        <v>2026</v>
      </c>
      <c r="D297">
        <v>5</v>
      </c>
      <c r="E297">
        <v>26.6</v>
      </c>
      <c r="F297">
        <v>12</v>
      </c>
      <c r="G297">
        <v>73.7</v>
      </c>
      <c r="H297">
        <v>88.9</v>
      </c>
      <c r="I297">
        <v>3.3</v>
      </c>
      <c r="J297">
        <v>32.299999999999997</v>
      </c>
      <c r="K297">
        <v>6.1</v>
      </c>
      <c r="L297">
        <v>101.92950817099999</v>
      </c>
      <c r="M297">
        <v>28.8</v>
      </c>
      <c r="N297">
        <v>45.2</v>
      </c>
    </row>
    <row r="298" spans="1:14" x14ac:dyDescent="0.2">
      <c r="A298" t="s">
        <v>1002</v>
      </c>
      <c r="B298">
        <v>681624</v>
      </c>
      <c r="C298">
        <v>2026</v>
      </c>
      <c r="D298">
        <v>17</v>
      </c>
      <c r="E298">
        <v>19.5</v>
      </c>
      <c r="F298">
        <v>8.3000000000000007</v>
      </c>
      <c r="G298">
        <v>73</v>
      </c>
      <c r="H298">
        <v>89.1</v>
      </c>
      <c r="I298">
        <v>16.600000000000001</v>
      </c>
      <c r="J298">
        <v>35.6</v>
      </c>
      <c r="K298">
        <v>8.6</v>
      </c>
      <c r="L298">
        <v>100.568102466</v>
      </c>
      <c r="M298">
        <v>22.8</v>
      </c>
      <c r="N298">
        <v>48.3</v>
      </c>
    </row>
    <row r="299" spans="1:14" x14ac:dyDescent="0.2">
      <c r="A299" t="s">
        <v>1003</v>
      </c>
      <c r="B299">
        <v>650489</v>
      </c>
      <c r="C299">
        <v>2026</v>
      </c>
      <c r="D299">
        <v>7</v>
      </c>
      <c r="E299">
        <v>27.8</v>
      </c>
      <c r="F299">
        <v>8.4</v>
      </c>
      <c r="G299">
        <v>73</v>
      </c>
      <c r="H299">
        <v>88.2</v>
      </c>
      <c r="I299">
        <v>19.2</v>
      </c>
      <c r="J299">
        <v>32.5</v>
      </c>
      <c r="K299">
        <v>6</v>
      </c>
      <c r="L299">
        <v>100.058663232</v>
      </c>
      <c r="M299">
        <v>29.8</v>
      </c>
      <c r="N299">
        <v>54</v>
      </c>
    </row>
    <row r="300" spans="1:14" x14ac:dyDescent="0.2">
      <c r="A300" t="s">
        <v>1004</v>
      </c>
      <c r="B300">
        <v>545361</v>
      </c>
      <c r="C300">
        <v>2026</v>
      </c>
      <c r="D300">
        <v>18</v>
      </c>
      <c r="E300">
        <v>24.6</v>
      </c>
      <c r="F300">
        <v>18.899999999999999</v>
      </c>
      <c r="G300">
        <v>75.099999999999994</v>
      </c>
      <c r="H300">
        <v>90.7</v>
      </c>
      <c r="I300">
        <v>18.2</v>
      </c>
      <c r="J300">
        <v>37.200000000000003</v>
      </c>
      <c r="K300">
        <v>20</v>
      </c>
      <c r="L300">
        <v>103.457472857</v>
      </c>
      <c r="M300">
        <v>22.9</v>
      </c>
      <c r="N300">
        <v>39.200000000000003</v>
      </c>
    </row>
    <row r="301" spans="1:14" x14ac:dyDescent="0.2">
      <c r="A301" t="s">
        <v>1005</v>
      </c>
      <c r="B301">
        <v>663586</v>
      </c>
      <c r="C301">
        <v>2026</v>
      </c>
      <c r="D301">
        <v>9</v>
      </c>
      <c r="E301">
        <v>29.4</v>
      </c>
      <c r="F301">
        <v>8.3000000000000007</v>
      </c>
      <c r="G301">
        <v>75.7</v>
      </c>
      <c r="H301">
        <v>90.3</v>
      </c>
      <c r="I301">
        <v>19.399999999999999</v>
      </c>
      <c r="J301">
        <v>31</v>
      </c>
      <c r="K301">
        <v>9.9</v>
      </c>
      <c r="L301">
        <v>101.40502956900001</v>
      </c>
      <c r="M301">
        <v>32.6</v>
      </c>
      <c r="N301">
        <v>47.5</v>
      </c>
    </row>
    <row r="302" spans="1:14" x14ac:dyDescent="0.2">
      <c r="A302" t="s">
        <v>1006</v>
      </c>
      <c r="B302">
        <v>695336</v>
      </c>
      <c r="C302">
        <v>2026</v>
      </c>
      <c r="D302">
        <v>1</v>
      </c>
      <c r="E302">
        <v>31.7</v>
      </c>
      <c r="F302">
        <v>7.3</v>
      </c>
      <c r="G302">
        <v>72.2</v>
      </c>
      <c r="H302">
        <v>88.8</v>
      </c>
      <c r="I302">
        <v>13.2</v>
      </c>
      <c r="J302">
        <v>34</v>
      </c>
      <c r="K302">
        <v>10</v>
      </c>
      <c r="L302">
        <v>100.2456392</v>
      </c>
      <c r="M302">
        <v>33</v>
      </c>
      <c r="N302">
        <v>54</v>
      </c>
    </row>
    <row r="303" spans="1:14" x14ac:dyDescent="0.2">
      <c r="A303" t="s">
        <v>1007</v>
      </c>
      <c r="B303">
        <v>686452</v>
      </c>
      <c r="C303">
        <v>2026</v>
      </c>
      <c r="D303">
        <v>2</v>
      </c>
      <c r="E303">
        <v>24.3</v>
      </c>
      <c r="F303">
        <v>9.1999999999999993</v>
      </c>
      <c r="G303">
        <v>68.099999999999994</v>
      </c>
      <c r="H303">
        <v>83.6</v>
      </c>
      <c r="I303">
        <v>12.8</v>
      </c>
      <c r="J303">
        <v>34.4</v>
      </c>
      <c r="K303">
        <v>3.2</v>
      </c>
      <c r="L303">
        <v>94.435516667000002</v>
      </c>
      <c r="M303">
        <v>23.3</v>
      </c>
      <c r="N303">
        <v>44.8</v>
      </c>
    </row>
    <row r="304" spans="1:14" x14ac:dyDescent="0.2">
      <c r="A304" t="s">
        <v>1008</v>
      </c>
      <c r="B304">
        <v>669398</v>
      </c>
      <c r="C304">
        <v>2026</v>
      </c>
      <c r="D304">
        <v>2</v>
      </c>
      <c r="E304">
        <v>42.1</v>
      </c>
      <c r="F304">
        <v>0</v>
      </c>
      <c r="G304">
        <v>70.8</v>
      </c>
      <c r="H304">
        <v>94.2</v>
      </c>
      <c r="I304">
        <v>12.3</v>
      </c>
      <c r="J304">
        <v>50</v>
      </c>
      <c r="K304">
        <v>22.7</v>
      </c>
      <c r="L304">
        <v>102.354927273</v>
      </c>
      <c r="M304">
        <v>33.299999999999997</v>
      </c>
      <c r="N304">
        <v>59.2</v>
      </c>
    </row>
    <row r="305" spans="1:14" x14ac:dyDescent="0.2">
      <c r="A305" t="s">
        <v>1009</v>
      </c>
      <c r="B305">
        <v>694671</v>
      </c>
      <c r="C305">
        <v>2026</v>
      </c>
      <c r="D305">
        <v>9</v>
      </c>
      <c r="E305">
        <v>21.5</v>
      </c>
      <c r="F305">
        <v>6.3</v>
      </c>
      <c r="G305">
        <v>72.900000000000006</v>
      </c>
      <c r="H305">
        <v>89.1</v>
      </c>
      <c r="I305">
        <v>17</v>
      </c>
      <c r="J305">
        <v>29.2</v>
      </c>
      <c r="K305">
        <v>8</v>
      </c>
      <c r="L305">
        <v>100.298147101</v>
      </c>
      <c r="M305">
        <v>22.7</v>
      </c>
      <c r="N305">
        <v>48.5</v>
      </c>
    </row>
    <row r="306" spans="1:14" x14ac:dyDescent="0.2">
      <c r="A306" t="s">
        <v>1010</v>
      </c>
      <c r="B306">
        <v>607208</v>
      </c>
      <c r="C306">
        <v>2026</v>
      </c>
      <c r="D306">
        <v>10</v>
      </c>
      <c r="E306">
        <v>22.2</v>
      </c>
      <c r="F306">
        <v>6</v>
      </c>
      <c r="G306">
        <v>71.599999999999994</v>
      </c>
      <c r="H306">
        <v>88.6</v>
      </c>
      <c r="I306">
        <v>10.1</v>
      </c>
      <c r="J306">
        <v>33.1</v>
      </c>
      <c r="K306">
        <v>6.1</v>
      </c>
      <c r="L306">
        <v>98.976516554</v>
      </c>
      <c r="M306">
        <v>27.8</v>
      </c>
      <c r="N306">
        <v>51.4</v>
      </c>
    </row>
    <row r="307" spans="1:14" x14ac:dyDescent="0.2">
      <c r="A307" t="s">
        <v>1011</v>
      </c>
      <c r="B307">
        <v>667472</v>
      </c>
      <c r="C307">
        <v>2026</v>
      </c>
      <c r="D307">
        <v>3</v>
      </c>
      <c r="E307">
        <v>25.5</v>
      </c>
      <c r="F307">
        <v>12.4</v>
      </c>
      <c r="G307">
        <v>71.900000000000006</v>
      </c>
      <c r="H307">
        <v>90</v>
      </c>
      <c r="I307">
        <v>19.8</v>
      </c>
      <c r="J307">
        <v>41</v>
      </c>
      <c r="K307">
        <v>7.7</v>
      </c>
      <c r="L307">
        <v>99.585321891999996</v>
      </c>
      <c r="M307">
        <v>16.899999999999999</v>
      </c>
      <c r="N307">
        <v>39</v>
      </c>
    </row>
    <row r="308" spans="1:14" x14ac:dyDescent="0.2">
      <c r="A308" t="s">
        <v>1012</v>
      </c>
      <c r="B308">
        <v>605244</v>
      </c>
      <c r="C308">
        <v>2026</v>
      </c>
      <c r="D308">
        <v>1</v>
      </c>
      <c r="E308">
        <v>31.6</v>
      </c>
      <c r="F308">
        <v>0</v>
      </c>
      <c r="G308">
        <v>72.2</v>
      </c>
      <c r="H308">
        <v>86.1</v>
      </c>
      <c r="I308">
        <v>16.600000000000001</v>
      </c>
      <c r="J308">
        <v>30.8</v>
      </c>
      <c r="K308">
        <v>7.7</v>
      </c>
      <c r="L308">
        <v>96.168334286000004</v>
      </c>
      <c r="M308">
        <v>35.299999999999997</v>
      </c>
      <c r="N308">
        <v>53.1</v>
      </c>
    </row>
    <row r="309" spans="1:14" x14ac:dyDescent="0.2">
      <c r="A309" t="s">
        <v>1013</v>
      </c>
      <c r="B309">
        <v>690993</v>
      </c>
      <c r="C309">
        <v>2026</v>
      </c>
      <c r="D309">
        <v>8</v>
      </c>
      <c r="E309">
        <v>19.5</v>
      </c>
      <c r="F309">
        <v>5.5</v>
      </c>
      <c r="G309">
        <v>72</v>
      </c>
      <c r="H309">
        <v>89</v>
      </c>
      <c r="I309">
        <v>12.5</v>
      </c>
      <c r="J309">
        <v>38.299999999999997</v>
      </c>
      <c r="K309">
        <v>8</v>
      </c>
      <c r="L309">
        <v>100.0402218</v>
      </c>
      <c r="M309">
        <v>21.3</v>
      </c>
      <c r="N309">
        <v>43.9</v>
      </c>
    </row>
    <row r="310" spans="1:14" x14ac:dyDescent="0.2">
      <c r="A310" t="s">
        <v>1014</v>
      </c>
      <c r="B310">
        <v>664702</v>
      </c>
      <c r="C310">
        <v>2026</v>
      </c>
      <c r="D310">
        <v>3</v>
      </c>
      <c r="E310">
        <v>13.4</v>
      </c>
      <c r="F310">
        <v>7.9</v>
      </c>
      <c r="G310">
        <v>68.900000000000006</v>
      </c>
      <c r="H310">
        <v>86.3</v>
      </c>
      <c r="I310">
        <v>14.9</v>
      </c>
      <c r="J310">
        <v>30.2</v>
      </c>
      <c r="K310">
        <v>3.1</v>
      </c>
      <c r="L310">
        <v>96.322975483999997</v>
      </c>
      <c r="M310">
        <v>11.8</v>
      </c>
      <c r="N310">
        <v>38.9</v>
      </c>
    </row>
    <row r="311" spans="1:14" x14ac:dyDescent="0.2">
      <c r="A311" t="s">
        <v>1015</v>
      </c>
      <c r="B311">
        <v>680718</v>
      </c>
      <c r="C311">
        <v>2026</v>
      </c>
      <c r="D311">
        <v>0</v>
      </c>
      <c r="E311">
        <v>25</v>
      </c>
      <c r="F311">
        <v>17.899999999999999</v>
      </c>
      <c r="G311">
        <v>74.3</v>
      </c>
      <c r="H311">
        <v>89</v>
      </c>
      <c r="I311">
        <v>16.7</v>
      </c>
      <c r="J311">
        <v>25</v>
      </c>
      <c r="K311">
        <v>0</v>
      </c>
      <c r="L311">
        <v>101.06417374999999</v>
      </c>
      <c r="M311">
        <v>23.1</v>
      </c>
      <c r="N311">
        <v>43.7</v>
      </c>
    </row>
    <row r="312" spans="1:14" x14ac:dyDescent="0.2">
      <c r="A312" t="s">
        <v>1016</v>
      </c>
      <c r="B312">
        <v>694728</v>
      </c>
      <c r="C312">
        <v>2026</v>
      </c>
      <c r="D312">
        <v>7</v>
      </c>
      <c r="E312">
        <v>31.4</v>
      </c>
      <c r="F312">
        <v>6.6</v>
      </c>
      <c r="G312">
        <v>72.900000000000006</v>
      </c>
      <c r="H312">
        <v>86.8</v>
      </c>
      <c r="I312">
        <v>12</v>
      </c>
      <c r="J312">
        <v>30</v>
      </c>
      <c r="K312">
        <v>8.6</v>
      </c>
      <c r="L312">
        <v>99.625970455000001</v>
      </c>
      <c r="M312">
        <v>35.299999999999997</v>
      </c>
      <c r="N312">
        <v>46.3</v>
      </c>
    </row>
    <row r="313" spans="1:14" x14ac:dyDescent="0.2">
      <c r="A313" t="s">
        <v>1017</v>
      </c>
      <c r="B313">
        <v>681198</v>
      </c>
      <c r="C313">
        <v>2026</v>
      </c>
      <c r="D313">
        <v>12</v>
      </c>
      <c r="E313">
        <v>13.8</v>
      </c>
      <c r="F313">
        <v>10.4</v>
      </c>
      <c r="G313">
        <v>68.900000000000006</v>
      </c>
      <c r="H313">
        <v>83.8</v>
      </c>
      <c r="I313">
        <v>15.5</v>
      </c>
      <c r="J313">
        <v>37.299999999999997</v>
      </c>
      <c r="K313">
        <v>5.3</v>
      </c>
      <c r="L313">
        <v>96.440138368999996</v>
      </c>
      <c r="M313">
        <v>20.5</v>
      </c>
      <c r="N313">
        <v>49.2</v>
      </c>
    </row>
    <row r="314" spans="1:14" x14ac:dyDescent="0.2">
      <c r="A314" t="s">
        <v>1018</v>
      </c>
      <c r="B314">
        <v>664774</v>
      </c>
      <c r="C314">
        <v>2026</v>
      </c>
      <c r="D314">
        <v>2</v>
      </c>
      <c r="E314">
        <v>32.4</v>
      </c>
      <c r="F314">
        <v>5.9</v>
      </c>
      <c r="G314">
        <v>72.3</v>
      </c>
      <c r="H314">
        <v>84.5</v>
      </c>
      <c r="I314">
        <v>15.2</v>
      </c>
      <c r="J314">
        <v>42.9</v>
      </c>
      <c r="K314">
        <v>9.5</v>
      </c>
      <c r="L314">
        <v>97.622545000000002</v>
      </c>
      <c r="M314">
        <v>23.4</v>
      </c>
      <c r="N314">
        <v>43.8</v>
      </c>
    </row>
    <row r="315" spans="1:14" x14ac:dyDescent="0.2">
      <c r="A315" t="s">
        <v>1019</v>
      </c>
      <c r="B315">
        <v>682641</v>
      </c>
      <c r="C315">
        <v>2026</v>
      </c>
      <c r="D315">
        <v>0</v>
      </c>
      <c r="E315">
        <v>33.299999999999997</v>
      </c>
      <c r="F315">
        <v>4.8</v>
      </c>
      <c r="G315">
        <v>71.099999999999994</v>
      </c>
      <c r="H315">
        <v>84.1</v>
      </c>
      <c r="I315">
        <v>19.8</v>
      </c>
      <c r="J315">
        <v>7.7</v>
      </c>
      <c r="K315">
        <v>0</v>
      </c>
      <c r="L315">
        <v>94.594949999999997</v>
      </c>
      <c r="M315">
        <v>31.8</v>
      </c>
      <c r="N315">
        <v>61.1</v>
      </c>
    </row>
    <row r="316" spans="1:14" x14ac:dyDescent="0.2">
      <c r="A316" t="s">
        <v>1020</v>
      </c>
      <c r="B316">
        <v>673548</v>
      </c>
      <c r="C316">
        <v>2026</v>
      </c>
      <c r="D316">
        <v>15</v>
      </c>
      <c r="E316">
        <v>25.7</v>
      </c>
      <c r="F316">
        <v>10.199999999999999</v>
      </c>
      <c r="G316">
        <v>73.3</v>
      </c>
      <c r="H316">
        <v>89</v>
      </c>
      <c r="I316">
        <v>18.3</v>
      </c>
      <c r="J316">
        <v>38.200000000000003</v>
      </c>
      <c r="K316">
        <v>9.1999999999999993</v>
      </c>
      <c r="L316">
        <v>100.46414477099999</v>
      </c>
      <c r="M316">
        <v>25.7</v>
      </c>
      <c r="N316">
        <v>41.2</v>
      </c>
    </row>
    <row r="317" spans="1:14" x14ac:dyDescent="0.2">
      <c r="A317" t="s">
        <v>1021</v>
      </c>
      <c r="B317">
        <v>807727</v>
      </c>
      <c r="C317">
        <v>2026</v>
      </c>
      <c r="D317">
        <v>1</v>
      </c>
      <c r="E317">
        <v>24</v>
      </c>
      <c r="F317">
        <v>0</v>
      </c>
      <c r="G317">
        <v>73.7</v>
      </c>
      <c r="H317">
        <v>88</v>
      </c>
      <c r="I317">
        <v>21</v>
      </c>
      <c r="J317">
        <v>21.1</v>
      </c>
      <c r="K317">
        <v>5.3</v>
      </c>
      <c r="L317">
        <v>95.729607999999999</v>
      </c>
      <c r="M317">
        <v>20.8</v>
      </c>
      <c r="N317">
        <v>54.5</v>
      </c>
    </row>
    <row r="318" spans="1:14" x14ac:dyDescent="0.2">
      <c r="A318" t="s">
        <v>1022</v>
      </c>
      <c r="B318">
        <v>668942</v>
      </c>
      <c r="C318">
        <v>2026</v>
      </c>
      <c r="D318">
        <v>1</v>
      </c>
      <c r="E318">
        <v>22.9</v>
      </c>
      <c r="F318">
        <v>2.9</v>
      </c>
      <c r="G318">
        <v>67.400000000000006</v>
      </c>
      <c r="H318">
        <v>83.4</v>
      </c>
      <c r="I318">
        <v>13.8</v>
      </c>
      <c r="J318">
        <v>26.9</v>
      </c>
      <c r="K318">
        <v>3.8</v>
      </c>
      <c r="L318">
        <v>95.240022307999993</v>
      </c>
      <c r="M318">
        <v>25.4</v>
      </c>
      <c r="N318">
        <v>54.5</v>
      </c>
    </row>
    <row r="319" spans="1:14" x14ac:dyDescent="0.2">
      <c r="A319" t="s">
        <v>1023</v>
      </c>
      <c r="B319">
        <v>670770</v>
      </c>
      <c r="C319">
        <v>2026</v>
      </c>
      <c r="D319">
        <v>3</v>
      </c>
      <c r="E319">
        <v>24.3</v>
      </c>
      <c r="F319">
        <v>7.5</v>
      </c>
      <c r="G319">
        <v>70.900000000000006</v>
      </c>
      <c r="H319">
        <v>87.8</v>
      </c>
      <c r="I319">
        <v>18.7</v>
      </c>
      <c r="J319">
        <v>27.5</v>
      </c>
      <c r="K319">
        <v>3</v>
      </c>
      <c r="L319">
        <v>97.323862950999995</v>
      </c>
      <c r="M319">
        <v>25.9</v>
      </c>
      <c r="N319">
        <v>44.5</v>
      </c>
    </row>
    <row r="320" spans="1:14" x14ac:dyDescent="0.2">
      <c r="A320" t="s">
        <v>1024</v>
      </c>
      <c r="B320">
        <v>669134</v>
      </c>
      <c r="C320">
        <v>2026</v>
      </c>
      <c r="D320">
        <v>4</v>
      </c>
      <c r="E320">
        <v>24.7</v>
      </c>
      <c r="F320">
        <v>12.3</v>
      </c>
      <c r="G320">
        <v>72.7</v>
      </c>
      <c r="H320">
        <v>87.7</v>
      </c>
      <c r="I320">
        <v>13.2</v>
      </c>
      <c r="J320">
        <v>38</v>
      </c>
      <c r="K320">
        <v>10</v>
      </c>
      <c r="L320">
        <v>100.91869199999999</v>
      </c>
      <c r="M320">
        <v>26.7</v>
      </c>
      <c r="N320">
        <v>45.5</v>
      </c>
    </row>
    <row r="321" spans="1:14" x14ac:dyDescent="0.2">
      <c r="A321" t="s">
        <v>1025</v>
      </c>
      <c r="B321">
        <v>664059</v>
      </c>
      <c r="C321">
        <v>2026</v>
      </c>
      <c r="D321">
        <v>0</v>
      </c>
      <c r="E321">
        <v>34</v>
      </c>
      <c r="F321">
        <v>4.3</v>
      </c>
      <c r="G321">
        <v>70.2</v>
      </c>
      <c r="H321">
        <v>83.4</v>
      </c>
      <c r="I321">
        <v>16.8</v>
      </c>
      <c r="J321">
        <v>25</v>
      </c>
      <c r="K321">
        <v>0</v>
      </c>
      <c r="L321">
        <v>93.570359230999998</v>
      </c>
      <c r="M321">
        <v>31.8</v>
      </c>
      <c r="N321">
        <v>52.7</v>
      </c>
    </row>
    <row r="322" spans="1:14" x14ac:dyDescent="0.2">
      <c r="A322" t="s">
        <v>1026</v>
      </c>
      <c r="B322">
        <v>600869</v>
      </c>
      <c r="C322">
        <v>2026</v>
      </c>
      <c r="D322">
        <v>0</v>
      </c>
      <c r="E322">
        <v>40</v>
      </c>
      <c r="F322">
        <v>5</v>
      </c>
      <c r="G322">
        <v>71</v>
      </c>
      <c r="H322">
        <v>91.8</v>
      </c>
      <c r="I322">
        <v>18.2</v>
      </c>
      <c r="J322">
        <v>30</v>
      </c>
      <c r="K322">
        <v>0</v>
      </c>
      <c r="L322">
        <v>98.451111999999995</v>
      </c>
      <c r="M322">
        <v>50</v>
      </c>
      <c r="N322">
        <v>55.4</v>
      </c>
    </row>
    <row r="323" spans="1:14" x14ac:dyDescent="0.2">
      <c r="A323" t="s">
        <v>1027</v>
      </c>
      <c r="B323">
        <v>669326</v>
      </c>
      <c r="C323">
        <v>2026</v>
      </c>
      <c r="D323">
        <v>0</v>
      </c>
      <c r="E323">
        <v>35.299999999999997</v>
      </c>
      <c r="F323">
        <v>5.9</v>
      </c>
      <c r="G323">
        <v>70.099999999999994</v>
      </c>
      <c r="H323">
        <v>83.5</v>
      </c>
      <c r="I323">
        <v>6.4</v>
      </c>
      <c r="J323">
        <v>13.3</v>
      </c>
      <c r="K323">
        <v>6.7</v>
      </c>
      <c r="L323">
        <v>96.110663571000003</v>
      </c>
      <c r="M323">
        <v>39.200000000000003</v>
      </c>
      <c r="N323">
        <v>54.8</v>
      </c>
    </row>
    <row r="324" spans="1:14" x14ac:dyDescent="0.2">
      <c r="A324" t="s">
        <v>1028</v>
      </c>
      <c r="B324">
        <v>642715</v>
      </c>
      <c r="C324">
        <v>2026</v>
      </c>
      <c r="D324">
        <v>15</v>
      </c>
      <c r="E324">
        <v>27.9</v>
      </c>
      <c r="F324">
        <v>6.5</v>
      </c>
      <c r="G324">
        <v>72.3</v>
      </c>
      <c r="H324">
        <v>88.4</v>
      </c>
      <c r="I324">
        <v>22.2</v>
      </c>
      <c r="J324">
        <v>37.5</v>
      </c>
      <c r="K324">
        <v>8.8000000000000007</v>
      </c>
      <c r="L324">
        <v>98.970174048000004</v>
      </c>
      <c r="M324">
        <v>28.7</v>
      </c>
      <c r="N324">
        <v>48.5</v>
      </c>
    </row>
    <row r="325" spans="1:14" x14ac:dyDescent="0.2">
      <c r="A325" t="s">
        <v>1029</v>
      </c>
      <c r="B325">
        <v>663368</v>
      </c>
      <c r="C325">
        <v>2026</v>
      </c>
      <c r="D325">
        <v>1</v>
      </c>
      <c r="E325">
        <v>21.8</v>
      </c>
      <c r="F325">
        <v>9.9</v>
      </c>
      <c r="G325">
        <v>70.400000000000006</v>
      </c>
      <c r="H325">
        <v>86.4</v>
      </c>
      <c r="I325">
        <v>13.4</v>
      </c>
      <c r="J325">
        <v>23.5</v>
      </c>
      <c r="K325">
        <v>4.4000000000000004</v>
      </c>
      <c r="L325">
        <v>97.263370605999995</v>
      </c>
      <c r="M325">
        <v>20.9</v>
      </c>
      <c r="N325">
        <v>43.4</v>
      </c>
    </row>
    <row r="326" spans="1:14" x14ac:dyDescent="0.2">
      <c r="A326" t="s">
        <v>1030</v>
      </c>
      <c r="B326">
        <v>687957</v>
      </c>
      <c r="C326">
        <v>2026</v>
      </c>
      <c r="D326">
        <v>0</v>
      </c>
      <c r="E326">
        <v>13.5</v>
      </c>
      <c r="F326">
        <v>11.5</v>
      </c>
      <c r="G326">
        <v>66.7</v>
      </c>
      <c r="H326">
        <v>83.7</v>
      </c>
      <c r="I326">
        <v>15.8</v>
      </c>
      <c r="J326">
        <v>44.7</v>
      </c>
      <c r="K326">
        <v>0</v>
      </c>
      <c r="L326">
        <v>93.693081110999998</v>
      </c>
      <c r="M326">
        <v>13.8</v>
      </c>
      <c r="N326">
        <v>42.3</v>
      </c>
    </row>
    <row r="327" spans="1:14" x14ac:dyDescent="0.2">
      <c r="A327" t="s">
        <v>1031</v>
      </c>
      <c r="B327">
        <v>665750</v>
      </c>
      <c r="C327">
        <v>2026</v>
      </c>
      <c r="D327">
        <v>4</v>
      </c>
      <c r="E327">
        <v>24.8</v>
      </c>
      <c r="F327">
        <v>9.6999999999999993</v>
      </c>
      <c r="G327">
        <v>72.8</v>
      </c>
      <c r="H327">
        <v>87.4</v>
      </c>
      <c r="I327">
        <v>15.5</v>
      </c>
      <c r="J327">
        <v>31.2</v>
      </c>
      <c r="K327">
        <v>4.8</v>
      </c>
      <c r="L327">
        <v>98.269263103</v>
      </c>
      <c r="M327">
        <v>26</v>
      </c>
      <c r="N327">
        <v>47.5</v>
      </c>
    </row>
    <row r="328" spans="1:14" x14ac:dyDescent="0.2">
      <c r="A328" t="s">
        <v>1032</v>
      </c>
      <c r="B328">
        <v>669003</v>
      </c>
      <c r="C328">
        <v>2026</v>
      </c>
      <c r="D328">
        <v>8</v>
      </c>
      <c r="E328">
        <v>32.9</v>
      </c>
      <c r="F328">
        <v>11.6</v>
      </c>
      <c r="G328">
        <v>77.3</v>
      </c>
      <c r="H328">
        <v>92.9</v>
      </c>
      <c r="I328">
        <v>4.3</v>
      </c>
      <c r="J328">
        <v>32.9</v>
      </c>
      <c r="K328">
        <v>14.7</v>
      </c>
      <c r="L328">
        <v>104.760863059</v>
      </c>
      <c r="M328">
        <v>37.4</v>
      </c>
      <c r="N328">
        <v>43.8</v>
      </c>
    </row>
    <row r="329" spans="1:14" x14ac:dyDescent="0.2">
      <c r="A329" t="s">
        <v>1033</v>
      </c>
      <c r="B329">
        <v>592206</v>
      </c>
      <c r="C329">
        <v>2026</v>
      </c>
      <c r="D329">
        <v>4</v>
      </c>
      <c r="E329">
        <v>27.9</v>
      </c>
      <c r="F329">
        <v>4.0999999999999996</v>
      </c>
      <c r="G329">
        <v>69.7</v>
      </c>
      <c r="H329">
        <v>87.7</v>
      </c>
      <c r="I329">
        <v>13</v>
      </c>
      <c r="J329">
        <v>42.2</v>
      </c>
      <c r="K329">
        <v>8.4</v>
      </c>
      <c r="L329">
        <v>98.254014286</v>
      </c>
      <c r="M329">
        <v>33.5</v>
      </c>
      <c r="N329">
        <v>57</v>
      </c>
    </row>
    <row r="330" spans="1:14" x14ac:dyDescent="0.2">
      <c r="A330" t="s">
        <v>1034</v>
      </c>
      <c r="B330">
        <v>669224</v>
      </c>
      <c r="C330">
        <v>2026</v>
      </c>
      <c r="D330">
        <v>6</v>
      </c>
      <c r="E330">
        <v>27.7</v>
      </c>
      <c r="F330">
        <v>10.9</v>
      </c>
      <c r="G330">
        <v>72.7</v>
      </c>
      <c r="H330">
        <v>89.2</v>
      </c>
      <c r="I330">
        <v>19.7</v>
      </c>
      <c r="J330">
        <v>32.6</v>
      </c>
      <c r="K330">
        <v>6.7</v>
      </c>
      <c r="L330">
        <v>100.168377273</v>
      </c>
      <c r="M330">
        <v>30.2</v>
      </c>
      <c r="N330">
        <v>47.9</v>
      </c>
    </row>
    <row r="331" spans="1:14" x14ac:dyDescent="0.2">
      <c r="A331" t="s">
        <v>1035</v>
      </c>
      <c r="B331">
        <v>679845</v>
      </c>
      <c r="C331">
        <v>2026</v>
      </c>
      <c r="D331">
        <v>4</v>
      </c>
      <c r="E331">
        <v>12.7</v>
      </c>
      <c r="F331">
        <v>10.199999999999999</v>
      </c>
      <c r="G331">
        <v>69</v>
      </c>
      <c r="H331">
        <v>88</v>
      </c>
      <c r="I331">
        <v>13.4</v>
      </c>
      <c r="J331">
        <v>35.299999999999997</v>
      </c>
      <c r="K331">
        <v>5.2</v>
      </c>
      <c r="L331">
        <v>96.793042236999995</v>
      </c>
      <c r="M331">
        <v>14.8</v>
      </c>
      <c r="N331">
        <v>40.6</v>
      </c>
    </row>
    <row r="332" spans="1:14" x14ac:dyDescent="0.2">
      <c r="A332" t="s">
        <v>1036</v>
      </c>
      <c r="B332">
        <v>668939</v>
      </c>
      <c r="C332">
        <v>2026</v>
      </c>
      <c r="D332">
        <v>8</v>
      </c>
      <c r="E332">
        <v>14.2</v>
      </c>
      <c r="F332">
        <v>10.199999999999999</v>
      </c>
      <c r="G332">
        <v>70.8</v>
      </c>
      <c r="H332">
        <v>89.4</v>
      </c>
      <c r="I332">
        <v>14.8</v>
      </c>
      <c r="J332">
        <v>40.1</v>
      </c>
      <c r="K332">
        <v>7.3</v>
      </c>
      <c r="L332">
        <v>99.765764660000002</v>
      </c>
      <c r="M332">
        <v>15.9</v>
      </c>
      <c r="N332">
        <v>41.8</v>
      </c>
    </row>
    <row r="333" spans="1:14" x14ac:dyDescent="0.2">
      <c r="A333" t="s">
        <v>1037</v>
      </c>
      <c r="B333">
        <v>521692</v>
      </c>
      <c r="C333">
        <v>2026</v>
      </c>
      <c r="D333">
        <v>11</v>
      </c>
      <c r="E333">
        <v>20.3</v>
      </c>
      <c r="F333">
        <v>3.5</v>
      </c>
      <c r="G333">
        <v>71.8</v>
      </c>
      <c r="H333">
        <v>89.3</v>
      </c>
      <c r="I333">
        <v>16.5</v>
      </c>
      <c r="J333">
        <v>33.5</v>
      </c>
      <c r="K333">
        <v>9.4</v>
      </c>
      <c r="L333">
        <v>100.32386518</v>
      </c>
      <c r="M333">
        <v>25.4</v>
      </c>
      <c r="N333">
        <v>57.3</v>
      </c>
    </row>
    <row r="334" spans="1:14" x14ac:dyDescent="0.2">
      <c r="A334" t="s">
        <v>1038</v>
      </c>
      <c r="B334">
        <v>691019</v>
      </c>
      <c r="C334">
        <v>2026</v>
      </c>
      <c r="D334">
        <v>2</v>
      </c>
      <c r="E334">
        <v>36.1</v>
      </c>
      <c r="F334">
        <v>9.8000000000000007</v>
      </c>
      <c r="G334">
        <v>72.900000000000006</v>
      </c>
      <c r="H334">
        <v>85.2</v>
      </c>
      <c r="I334">
        <v>13.8</v>
      </c>
      <c r="J334">
        <v>46.9</v>
      </c>
      <c r="K334">
        <v>12.5</v>
      </c>
      <c r="L334">
        <v>100.61392562499999</v>
      </c>
      <c r="M334">
        <v>36.700000000000003</v>
      </c>
      <c r="N334">
        <v>46.9</v>
      </c>
    </row>
    <row r="335" spans="1:14" x14ac:dyDescent="0.2">
      <c r="A335" t="s">
        <v>1039</v>
      </c>
      <c r="B335">
        <v>644433</v>
      </c>
      <c r="C335">
        <v>2026</v>
      </c>
      <c r="D335">
        <v>0</v>
      </c>
      <c r="E335">
        <v>23.3</v>
      </c>
      <c r="F335">
        <v>0</v>
      </c>
      <c r="G335">
        <v>70.7</v>
      </c>
      <c r="H335">
        <v>85.9</v>
      </c>
      <c r="I335">
        <v>17.2</v>
      </c>
      <c r="J335">
        <v>34.799999999999997</v>
      </c>
      <c r="K335">
        <v>0</v>
      </c>
      <c r="L335">
        <v>96.149888181999998</v>
      </c>
      <c r="M335">
        <v>27.7</v>
      </c>
      <c r="N335">
        <v>57.5</v>
      </c>
    </row>
    <row r="336" spans="1:14" x14ac:dyDescent="0.2">
      <c r="A336" t="s">
        <v>1040</v>
      </c>
      <c r="B336">
        <v>606192</v>
      </c>
      <c r="C336">
        <v>2026</v>
      </c>
      <c r="D336">
        <v>8</v>
      </c>
      <c r="E336">
        <v>27.9</v>
      </c>
      <c r="F336">
        <v>9.6</v>
      </c>
      <c r="G336">
        <v>72.2</v>
      </c>
      <c r="H336">
        <v>90</v>
      </c>
      <c r="I336">
        <v>14.7</v>
      </c>
      <c r="J336">
        <v>32.299999999999997</v>
      </c>
      <c r="K336">
        <v>10.4</v>
      </c>
      <c r="L336">
        <v>100.535373377</v>
      </c>
      <c r="M336">
        <v>31.8</v>
      </c>
      <c r="N336">
        <v>44.8</v>
      </c>
    </row>
    <row r="337" spans="1:14" x14ac:dyDescent="0.2">
      <c r="A337" t="s">
        <v>1041</v>
      </c>
      <c r="B337">
        <v>641857</v>
      </c>
      <c r="C337">
        <v>2026</v>
      </c>
      <c r="D337">
        <v>9</v>
      </c>
      <c r="E337">
        <v>32</v>
      </c>
      <c r="F337">
        <v>8</v>
      </c>
      <c r="G337">
        <v>74.7</v>
      </c>
      <c r="H337">
        <v>90.9</v>
      </c>
      <c r="I337">
        <v>12.2</v>
      </c>
      <c r="J337">
        <v>32.6</v>
      </c>
      <c r="K337">
        <v>11.3</v>
      </c>
      <c r="L337">
        <v>101.973061515</v>
      </c>
      <c r="M337">
        <v>31.2</v>
      </c>
      <c r="N337">
        <v>46.6</v>
      </c>
    </row>
    <row r="338" spans="1:14" x14ac:dyDescent="0.2">
      <c r="A338" t="s">
        <v>1042</v>
      </c>
      <c r="B338">
        <v>665862</v>
      </c>
      <c r="C338">
        <v>2026</v>
      </c>
      <c r="D338">
        <v>13</v>
      </c>
      <c r="E338">
        <v>29.2</v>
      </c>
      <c r="F338">
        <v>10.3</v>
      </c>
      <c r="G338">
        <v>73.099999999999994</v>
      </c>
      <c r="H338">
        <v>90.7</v>
      </c>
      <c r="I338">
        <v>16.2</v>
      </c>
      <c r="J338">
        <v>28.6</v>
      </c>
      <c r="K338">
        <v>8.8000000000000007</v>
      </c>
      <c r="L338">
        <v>100.08651085699999</v>
      </c>
      <c r="M338">
        <v>31.3</v>
      </c>
      <c r="N338">
        <v>44.7</v>
      </c>
    </row>
    <row r="339" spans="1:14" x14ac:dyDescent="0.2">
      <c r="A339" t="s">
        <v>1043</v>
      </c>
      <c r="B339">
        <v>621020</v>
      </c>
      <c r="C339">
        <v>2026</v>
      </c>
      <c r="D339">
        <v>16</v>
      </c>
      <c r="E339">
        <v>23.6</v>
      </c>
      <c r="F339">
        <v>10.4</v>
      </c>
      <c r="G339">
        <v>71.5</v>
      </c>
      <c r="H339">
        <v>89.9</v>
      </c>
      <c r="I339">
        <v>16.8</v>
      </c>
      <c r="J339">
        <v>27.8</v>
      </c>
      <c r="K339">
        <v>7.7</v>
      </c>
      <c r="L339">
        <v>99.806998534000002</v>
      </c>
      <c r="M339">
        <v>30.4</v>
      </c>
      <c r="N339">
        <v>46.8</v>
      </c>
    </row>
    <row r="340" spans="1:14" x14ac:dyDescent="0.2">
      <c r="A340" t="s">
        <v>1044</v>
      </c>
      <c r="B340">
        <v>666182</v>
      </c>
      <c r="C340">
        <v>2026</v>
      </c>
      <c r="D340">
        <v>10</v>
      </c>
      <c r="E340">
        <v>17.7</v>
      </c>
      <c r="F340">
        <v>6.1</v>
      </c>
      <c r="G340">
        <v>70.099999999999994</v>
      </c>
      <c r="H340">
        <v>90.3</v>
      </c>
      <c r="I340">
        <v>8.5</v>
      </c>
      <c r="J340">
        <v>36.1</v>
      </c>
      <c r="K340">
        <v>7.1</v>
      </c>
      <c r="L340">
        <v>101.381660833</v>
      </c>
      <c r="M340">
        <v>18.8</v>
      </c>
      <c r="N340">
        <v>53.2</v>
      </c>
    </row>
    <row r="341" spans="1:14" x14ac:dyDescent="0.2">
      <c r="A341" t="s">
        <v>1045</v>
      </c>
      <c r="B341">
        <v>677870</v>
      </c>
      <c r="C341">
        <v>2026</v>
      </c>
      <c r="D341">
        <v>2</v>
      </c>
      <c r="E341">
        <v>20.3</v>
      </c>
      <c r="F341">
        <v>8.1</v>
      </c>
      <c r="G341">
        <v>72.099999999999994</v>
      </c>
      <c r="H341">
        <v>91.4</v>
      </c>
      <c r="I341">
        <v>5.5</v>
      </c>
      <c r="J341">
        <v>31.3</v>
      </c>
      <c r="K341">
        <v>6.1</v>
      </c>
      <c r="L341">
        <v>100.760268049</v>
      </c>
      <c r="M341">
        <v>24.3</v>
      </c>
      <c r="N341">
        <v>44.3</v>
      </c>
    </row>
    <row r="342" spans="1:14" x14ac:dyDescent="0.2">
      <c r="A342" t="s">
        <v>1046</v>
      </c>
      <c r="B342">
        <v>621566</v>
      </c>
      <c r="C342">
        <v>2026</v>
      </c>
      <c r="D342">
        <v>25</v>
      </c>
      <c r="E342">
        <v>23.8</v>
      </c>
      <c r="F342">
        <v>9.6</v>
      </c>
      <c r="G342">
        <v>75</v>
      </c>
      <c r="H342">
        <v>92.9</v>
      </c>
      <c r="I342">
        <v>17.7</v>
      </c>
      <c r="J342">
        <v>30.9</v>
      </c>
      <c r="K342">
        <v>13.9</v>
      </c>
      <c r="L342">
        <v>104.082579854</v>
      </c>
      <c r="M342">
        <v>24.2</v>
      </c>
      <c r="N342">
        <v>45.6</v>
      </c>
    </row>
    <row r="343" spans="1:14" x14ac:dyDescent="0.2">
      <c r="A343" t="s">
        <v>1047</v>
      </c>
      <c r="B343">
        <v>676694</v>
      </c>
      <c r="C343">
        <v>2026</v>
      </c>
      <c r="D343">
        <v>3</v>
      </c>
      <c r="E343">
        <v>20.3</v>
      </c>
      <c r="F343">
        <v>6.8</v>
      </c>
      <c r="G343">
        <v>67.5</v>
      </c>
      <c r="H343">
        <v>85.7</v>
      </c>
      <c r="I343">
        <v>15.5</v>
      </c>
      <c r="J343">
        <v>25.2</v>
      </c>
      <c r="K343">
        <v>6.5</v>
      </c>
      <c r="L343">
        <v>95.891575556000006</v>
      </c>
      <c r="M343">
        <v>21.7</v>
      </c>
      <c r="N343">
        <v>52</v>
      </c>
    </row>
    <row r="344" spans="1:14" x14ac:dyDescent="0.2">
      <c r="A344" t="s">
        <v>1048</v>
      </c>
      <c r="B344">
        <v>680776</v>
      </c>
      <c r="C344">
        <v>2026</v>
      </c>
      <c r="D344">
        <v>13</v>
      </c>
      <c r="E344">
        <v>30.1</v>
      </c>
      <c r="F344">
        <v>7.2</v>
      </c>
      <c r="G344">
        <v>75.099999999999994</v>
      </c>
      <c r="H344">
        <v>89.3</v>
      </c>
      <c r="I344">
        <v>13.2</v>
      </c>
      <c r="J344">
        <v>31.5</v>
      </c>
      <c r="K344">
        <v>11.3</v>
      </c>
      <c r="L344">
        <v>101.20386831899999</v>
      </c>
      <c r="M344">
        <v>35.5</v>
      </c>
      <c r="N344">
        <v>49.3</v>
      </c>
    </row>
    <row r="345" spans="1:14" x14ac:dyDescent="0.2">
      <c r="A345" t="s">
        <v>1049</v>
      </c>
      <c r="B345">
        <v>624428</v>
      </c>
      <c r="C345">
        <v>2026</v>
      </c>
      <c r="D345">
        <v>1</v>
      </c>
      <c r="E345">
        <v>30.1</v>
      </c>
      <c r="F345">
        <v>9.6999999999999993</v>
      </c>
      <c r="G345">
        <v>65.3</v>
      </c>
      <c r="H345">
        <v>83.5</v>
      </c>
      <c r="I345">
        <v>15.6</v>
      </c>
      <c r="J345">
        <v>30.9</v>
      </c>
      <c r="K345">
        <v>1.8</v>
      </c>
      <c r="L345">
        <v>93.122690384999999</v>
      </c>
      <c r="M345">
        <v>27</v>
      </c>
      <c r="N345">
        <v>53.1</v>
      </c>
    </row>
    <row r="346" spans="1:14" x14ac:dyDescent="0.2">
      <c r="A346" t="s">
        <v>1050</v>
      </c>
      <c r="B346">
        <v>669364</v>
      </c>
      <c r="C346">
        <v>2026</v>
      </c>
      <c r="D346">
        <v>6</v>
      </c>
      <c r="E346">
        <v>11.7</v>
      </c>
      <c r="F346">
        <v>12.2</v>
      </c>
      <c r="G346">
        <v>68.5</v>
      </c>
      <c r="H346">
        <v>86.9</v>
      </c>
      <c r="I346">
        <v>10.5</v>
      </c>
      <c r="J346">
        <v>37.9</v>
      </c>
      <c r="K346">
        <v>4.5</v>
      </c>
      <c r="L346">
        <v>96.395680850000005</v>
      </c>
      <c r="M346">
        <v>14.6</v>
      </c>
      <c r="N346">
        <v>42.2</v>
      </c>
    </row>
    <row r="347" spans="1:14" x14ac:dyDescent="0.2">
      <c r="A347" t="s">
        <v>1051</v>
      </c>
      <c r="B347">
        <v>695020</v>
      </c>
      <c r="C347">
        <v>2026</v>
      </c>
      <c r="D347">
        <v>1</v>
      </c>
      <c r="E347">
        <v>21.2</v>
      </c>
      <c r="F347">
        <v>6.1</v>
      </c>
      <c r="G347">
        <v>73.8</v>
      </c>
      <c r="H347">
        <v>90.7</v>
      </c>
      <c r="I347">
        <v>25.6</v>
      </c>
      <c r="J347">
        <v>26.1</v>
      </c>
      <c r="K347">
        <v>8.6999999999999993</v>
      </c>
      <c r="L347">
        <v>100.07680363599999</v>
      </c>
      <c r="M347">
        <v>32</v>
      </c>
      <c r="N347">
        <v>48.5</v>
      </c>
    </row>
    <row r="348" spans="1:14" x14ac:dyDescent="0.2">
      <c r="A348" t="s">
        <v>1052</v>
      </c>
      <c r="B348">
        <v>691907</v>
      </c>
      <c r="C348">
        <v>2026</v>
      </c>
      <c r="D348">
        <v>0</v>
      </c>
      <c r="E348">
        <v>29</v>
      </c>
      <c r="F348">
        <v>9.6999999999999993</v>
      </c>
      <c r="G348">
        <v>66.5</v>
      </c>
      <c r="H348">
        <v>85.6</v>
      </c>
      <c r="I348">
        <v>12.3</v>
      </c>
      <c r="J348">
        <v>42.1</v>
      </c>
      <c r="K348">
        <v>5.3</v>
      </c>
      <c r="L348">
        <v>94.586575556</v>
      </c>
      <c r="M348">
        <v>37.299999999999997</v>
      </c>
      <c r="N348">
        <v>48.1</v>
      </c>
    </row>
    <row r="349" spans="1:14" x14ac:dyDescent="0.2">
      <c r="A349" t="s">
        <v>1053</v>
      </c>
      <c r="B349">
        <v>642350</v>
      </c>
      <c r="C349">
        <v>2026</v>
      </c>
      <c r="D349">
        <v>5</v>
      </c>
      <c r="E349">
        <v>28.1</v>
      </c>
      <c r="F349">
        <v>6.3</v>
      </c>
      <c r="G349">
        <v>73.400000000000006</v>
      </c>
      <c r="H349">
        <v>87.3</v>
      </c>
      <c r="I349">
        <v>18.2</v>
      </c>
      <c r="J349">
        <v>30.6</v>
      </c>
      <c r="K349">
        <v>13.1</v>
      </c>
      <c r="L349">
        <v>100.240199</v>
      </c>
      <c r="M349">
        <v>34</v>
      </c>
      <c r="N349">
        <v>55.3</v>
      </c>
    </row>
    <row r="350" spans="1:14" x14ac:dyDescent="0.2">
      <c r="A350" t="s">
        <v>1054</v>
      </c>
      <c r="B350">
        <v>687637</v>
      </c>
      <c r="C350">
        <v>2026</v>
      </c>
      <c r="D350">
        <v>2</v>
      </c>
      <c r="E350">
        <v>23.6</v>
      </c>
      <c r="F350">
        <v>10.8</v>
      </c>
      <c r="G350">
        <v>72</v>
      </c>
      <c r="H350">
        <v>87.4</v>
      </c>
      <c r="I350">
        <v>17.899999999999999</v>
      </c>
      <c r="J350">
        <v>35.4</v>
      </c>
      <c r="K350">
        <v>5.3</v>
      </c>
      <c r="L350">
        <v>99.133259148999997</v>
      </c>
      <c r="M350">
        <v>24.2</v>
      </c>
      <c r="N350">
        <v>44</v>
      </c>
    </row>
    <row r="351" spans="1:14" x14ac:dyDescent="0.2">
      <c r="A351" t="s">
        <v>1055</v>
      </c>
      <c r="B351">
        <v>681393</v>
      </c>
      <c r="C351">
        <v>2026</v>
      </c>
      <c r="D351">
        <v>4</v>
      </c>
      <c r="E351">
        <v>30</v>
      </c>
      <c r="F351">
        <v>10.3</v>
      </c>
      <c r="G351">
        <v>70.5</v>
      </c>
      <c r="H351">
        <v>87</v>
      </c>
      <c r="I351">
        <v>18.8</v>
      </c>
      <c r="J351">
        <v>29.8</v>
      </c>
      <c r="K351">
        <v>7.6</v>
      </c>
      <c r="L351">
        <v>97.387619999999998</v>
      </c>
      <c r="M351">
        <v>32.700000000000003</v>
      </c>
      <c r="N351">
        <v>49.4</v>
      </c>
    </row>
    <row r="352" spans="1:14" x14ac:dyDescent="0.2">
      <c r="A352" t="s">
        <v>1056</v>
      </c>
      <c r="B352">
        <v>683679</v>
      </c>
      <c r="C352">
        <v>2026</v>
      </c>
      <c r="D352">
        <v>2</v>
      </c>
      <c r="E352">
        <v>10.9</v>
      </c>
      <c r="F352">
        <v>6.5</v>
      </c>
      <c r="G352">
        <v>68.8</v>
      </c>
      <c r="H352">
        <v>86.8</v>
      </c>
      <c r="I352">
        <v>6.3</v>
      </c>
      <c r="J352">
        <v>37.799999999999997</v>
      </c>
      <c r="K352">
        <v>2.7</v>
      </c>
      <c r="L352">
        <v>96.718439443999998</v>
      </c>
      <c r="M352">
        <v>20.5</v>
      </c>
      <c r="N352">
        <v>51.7</v>
      </c>
    </row>
    <row r="353" spans="1:14" x14ac:dyDescent="0.2">
      <c r="A353" t="s">
        <v>1057</v>
      </c>
      <c r="B353">
        <v>624424</v>
      </c>
      <c r="C353">
        <v>2026</v>
      </c>
      <c r="D353">
        <v>8</v>
      </c>
      <c r="E353">
        <v>29.4</v>
      </c>
      <c r="F353">
        <v>11.9</v>
      </c>
      <c r="G353">
        <v>72.5</v>
      </c>
      <c r="H353">
        <v>92.4</v>
      </c>
      <c r="I353">
        <v>17.600000000000001</v>
      </c>
      <c r="J353">
        <v>39.4</v>
      </c>
      <c r="K353">
        <v>12.8</v>
      </c>
      <c r="L353">
        <v>101.308601702</v>
      </c>
      <c r="M353">
        <v>29.9</v>
      </c>
      <c r="N353">
        <v>43.4</v>
      </c>
    </row>
    <row r="354" spans="1:14" x14ac:dyDescent="0.2">
      <c r="A354" t="s">
        <v>1058</v>
      </c>
      <c r="B354">
        <v>543877</v>
      </c>
      <c r="C354">
        <v>2026</v>
      </c>
      <c r="D354">
        <v>5</v>
      </c>
      <c r="E354">
        <v>16.8</v>
      </c>
      <c r="F354">
        <v>7.3</v>
      </c>
      <c r="G354">
        <v>65.599999999999994</v>
      </c>
      <c r="H354">
        <v>86.1</v>
      </c>
      <c r="I354">
        <v>13.6</v>
      </c>
      <c r="J354">
        <v>31.7</v>
      </c>
      <c r="K354">
        <v>1.4</v>
      </c>
      <c r="L354">
        <v>95.447814714000003</v>
      </c>
      <c r="M354">
        <v>18.5</v>
      </c>
      <c r="N354">
        <v>47.3</v>
      </c>
    </row>
    <row r="355" spans="1:14" x14ac:dyDescent="0.2">
      <c r="A355" t="s">
        <v>1059</v>
      </c>
      <c r="B355">
        <v>701852</v>
      </c>
      <c r="C355">
        <v>2026</v>
      </c>
      <c r="D355">
        <v>0</v>
      </c>
      <c r="E355">
        <v>23.7</v>
      </c>
      <c r="F355">
        <v>13.2</v>
      </c>
      <c r="G355">
        <v>69.7</v>
      </c>
      <c r="H355">
        <v>86.9</v>
      </c>
      <c r="I355">
        <v>16</v>
      </c>
      <c r="J355">
        <v>33.299999999999997</v>
      </c>
      <c r="K355">
        <v>8.3000000000000007</v>
      </c>
      <c r="L355">
        <v>97.411696667000001</v>
      </c>
      <c r="M355">
        <v>20.8</v>
      </c>
      <c r="N355">
        <v>48.6</v>
      </c>
    </row>
    <row r="356" spans="1:14" x14ac:dyDescent="0.2">
      <c r="A356" t="s">
        <v>1060</v>
      </c>
      <c r="B356">
        <v>805999</v>
      </c>
      <c r="C356">
        <v>2026</v>
      </c>
      <c r="D356">
        <v>7</v>
      </c>
      <c r="E356">
        <v>25.7</v>
      </c>
      <c r="F356">
        <v>9.9</v>
      </c>
      <c r="G356">
        <v>70.400000000000006</v>
      </c>
      <c r="H356">
        <v>89.6</v>
      </c>
      <c r="I356">
        <v>12</v>
      </c>
      <c r="J356">
        <v>36.6</v>
      </c>
      <c r="K356">
        <v>7.7</v>
      </c>
      <c r="L356">
        <v>100.43837442900001</v>
      </c>
      <c r="M356">
        <v>23.6</v>
      </c>
      <c r="N356">
        <v>44.8</v>
      </c>
    </row>
    <row r="357" spans="1:14" x14ac:dyDescent="0.2">
      <c r="A357" t="s">
        <v>1061</v>
      </c>
      <c r="B357">
        <v>665489</v>
      </c>
      <c r="C357">
        <v>2026</v>
      </c>
      <c r="D357">
        <v>6</v>
      </c>
      <c r="E357">
        <v>12.9</v>
      </c>
      <c r="F357">
        <v>10.9</v>
      </c>
      <c r="G357">
        <v>76.2</v>
      </c>
      <c r="H357">
        <v>90</v>
      </c>
      <c r="I357">
        <v>7.2</v>
      </c>
      <c r="J357">
        <v>29.9</v>
      </c>
      <c r="K357">
        <v>6.9</v>
      </c>
      <c r="L357">
        <v>102.375970137</v>
      </c>
      <c r="M357">
        <v>20.5</v>
      </c>
      <c r="N357">
        <v>47.7</v>
      </c>
    </row>
    <row r="358" spans="1:14" x14ac:dyDescent="0.2">
      <c r="A358" t="s">
        <v>1062</v>
      </c>
      <c r="B358">
        <v>666971</v>
      </c>
      <c r="C358">
        <v>2026</v>
      </c>
      <c r="D358">
        <v>2</v>
      </c>
      <c r="E358">
        <v>17.8</v>
      </c>
      <c r="F358">
        <v>5.4</v>
      </c>
      <c r="G358">
        <v>70.7</v>
      </c>
      <c r="H358">
        <v>87.5</v>
      </c>
      <c r="I358">
        <v>14.7</v>
      </c>
      <c r="J358">
        <v>31.4</v>
      </c>
      <c r="K358">
        <v>4.3</v>
      </c>
      <c r="L358">
        <v>97.599106285999994</v>
      </c>
      <c r="M358">
        <v>24.4</v>
      </c>
      <c r="N358">
        <v>52.8</v>
      </c>
    </row>
    <row r="359" spans="1:14" x14ac:dyDescent="0.2">
      <c r="A359" t="s">
        <v>1063</v>
      </c>
      <c r="B359">
        <v>805811</v>
      </c>
      <c r="C359">
        <v>2026</v>
      </c>
      <c r="D359">
        <v>8</v>
      </c>
      <c r="E359">
        <v>24.4</v>
      </c>
      <c r="F359">
        <v>12.9</v>
      </c>
      <c r="G359">
        <v>73.7</v>
      </c>
      <c r="H359">
        <v>92.3</v>
      </c>
      <c r="I359">
        <v>13.2</v>
      </c>
      <c r="J359">
        <v>33.1</v>
      </c>
      <c r="K359">
        <v>12.5</v>
      </c>
      <c r="L359">
        <v>103.15271749999999</v>
      </c>
      <c r="M359">
        <v>23.4</v>
      </c>
      <c r="N359">
        <v>42.5</v>
      </c>
    </row>
    <row r="360" spans="1:14" x14ac:dyDescent="0.2">
      <c r="A360" t="s">
        <v>1064</v>
      </c>
      <c r="B360">
        <v>668804</v>
      </c>
      <c r="C360">
        <v>2026</v>
      </c>
      <c r="D360">
        <v>14</v>
      </c>
      <c r="E360">
        <v>22.3</v>
      </c>
      <c r="F360">
        <v>14.7</v>
      </c>
      <c r="G360">
        <v>72.900000000000006</v>
      </c>
      <c r="H360">
        <v>90.9</v>
      </c>
      <c r="I360">
        <v>6.9</v>
      </c>
      <c r="J360">
        <v>36.4</v>
      </c>
      <c r="K360">
        <v>10.1</v>
      </c>
      <c r="L360">
        <v>102.03456186</v>
      </c>
      <c r="M360">
        <v>28.4</v>
      </c>
      <c r="N360">
        <v>45.1</v>
      </c>
    </row>
    <row r="361" spans="1:14" x14ac:dyDescent="0.2">
      <c r="A361" t="s">
        <v>1065</v>
      </c>
      <c r="B361">
        <v>670156</v>
      </c>
      <c r="C361">
        <v>2026</v>
      </c>
      <c r="D361">
        <v>0</v>
      </c>
      <c r="E361">
        <v>33.299999999999997</v>
      </c>
      <c r="F361">
        <v>6.7</v>
      </c>
      <c r="G361">
        <v>68</v>
      </c>
      <c r="H361">
        <v>90.1</v>
      </c>
      <c r="I361">
        <v>11.1</v>
      </c>
      <c r="J361">
        <v>27.8</v>
      </c>
      <c r="K361">
        <v>0</v>
      </c>
      <c r="L361">
        <v>95.033559999999994</v>
      </c>
      <c r="M361">
        <v>20.9</v>
      </c>
      <c r="N361">
        <v>40.200000000000003</v>
      </c>
    </row>
    <row r="362" spans="1:14" x14ac:dyDescent="0.2">
      <c r="A362" t="s">
        <v>1066</v>
      </c>
      <c r="B362">
        <v>543309</v>
      </c>
      <c r="C362">
        <v>2026</v>
      </c>
      <c r="D362">
        <v>7</v>
      </c>
      <c r="E362">
        <v>26</v>
      </c>
      <c r="F362">
        <v>9.6</v>
      </c>
      <c r="G362">
        <v>70.900000000000006</v>
      </c>
      <c r="H362">
        <v>88</v>
      </c>
      <c r="I362">
        <v>16.8</v>
      </c>
      <c r="J362">
        <v>35.4</v>
      </c>
      <c r="K362">
        <v>8.8000000000000007</v>
      </c>
      <c r="L362">
        <v>99.145912143000004</v>
      </c>
      <c r="M362">
        <v>27.3</v>
      </c>
      <c r="N362">
        <v>44.5</v>
      </c>
    </row>
    <row r="363" spans="1:14" x14ac:dyDescent="0.2">
      <c r="A363" t="s">
        <v>906</v>
      </c>
      <c r="B363">
        <v>691777</v>
      </c>
      <c r="C363">
        <v>2026</v>
      </c>
      <c r="D363">
        <v>5</v>
      </c>
      <c r="E363">
        <v>33.1</v>
      </c>
      <c r="F363">
        <v>8</v>
      </c>
      <c r="G363">
        <v>74.5</v>
      </c>
      <c r="H363">
        <v>90.8</v>
      </c>
      <c r="I363">
        <v>13.3</v>
      </c>
      <c r="J363">
        <v>34.299999999999997</v>
      </c>
      <c r="K363">
        <v>11.1</v>
      </c>
      <c r="L363">
        <v>102.45553219999999</v>
      </c>
      <c r="M363">
        <v>32.5</v>
      </c>
      <c r="N363">
        <v>50.6</v>
      </c>
    </row>
    <row r="364" spans="1:14" x14ac:dyDescent="0.2">
      <c r="A364" t="s">
        <v>1067</v>
      </c>
      <c r="B364">
        <v>655316</v>
      </c>
      <c r="C364">
        <v>2026</v>
      </c>
      <c r="D364">
        <v>5</v>
      </c>
      <c r="E364">
        <v>22.5</v>
      </c>
      <c r="F364">
        <v>6.5</v>
      </c>
      <c r="G364">
        <v>69.5</v>
      </c>
      <c r="H364">
        <v>88.9</v>
      </c>
      <c r="I364">
        <v>21.4</v>
      </c>
      <c r="J364">
        <v>35</v>
      </c>
      <c r="K364">
        <v>10</v>
      </c>
      <c r="L364">
        <v>98.844757458000004</v>
      </c>
      <c r="M364">
        <v>18</v>
      </c>
      <c r="N364">
        <v>48</v>
      </c>
    </row>
    <row r="365" spans="1:14" x14ac:dyDescent="0.2">
      <c r="A365" t="s">
        <v>1068</v>
      </c>
      <c r="B365">
        <v>682818</v>
      </c>
      <c r="C365">
        <v>2026</v>
      </c>
      <c r="D365">
        <v>5</v>
      </c>
      <c r="E365">
        <v>23.1</v>
      </c>
      <c r="F365">
        <v>6.3</v>
      </c>
      <c r="G365">
        <v>75.7</v>
      </c>
      <c r="H365">
        <v>90.5</v>
      </c>
      <c r="I365">
        <v>10</v>
      </c>
      <c r="J365">
        <v>33.6</v>
      </c>
      <c r="K365">
        <v>7.1</v>
      </c>
      <c r="L365">
        <v>101.80301052599999</v>
      </c>
      <c r="M365">
        <v>25.8</v>
      </c>
      <c r="N365">
        <v>51.7</v>
      </c>
    </row>
    <row r="366" spans="1:14" x14ac:dyDescent="0.2">
      <c r="A366" t="s">
        <v>1069</v>
      </c>
      <c r="B366">
        <v>624585</v>
      </c>
      <c r="C366">
        <v>2026</v>
      </c>
      <c r="D366">
        <v>11</v>
      </c>
      <c r="E366">
        <v>31</v>
      </c>
      <c r="F366">
        <v>10</v>
      </c>
      <c r="G366">
        <v>74.900000000000006</v>
      </c>
      <c r="H366">
        <v>88.2</v>
      </c>
      <c r="I366">
        <v>14.5</v>
      </c>
      <c r="J366">
        <v>35.799999999999997</v>
      </c>
      <c r="K366">
        <v>11.7</v>
      </c>
      <c r="L366">
        <v>101.521452</v>
      </c>
      <c r="M366">
        <v>35.799999999999997</v>
      </c>
      <c r="N366">
        <v>47.3</v>
      </c>
    </row>
    <row r="367" spans="1:14" x14ac:dyDescent="0.2">
      <c r="A367" t="s">
        <v>1070</v>
      </c>
      <c r="B367">
        <v>666139</v>
      </c>
      <c r="C367">
        <v>2026</v>
      </c>
      <c r="D367">
        <v>8</v>
      </c>
      <c r="E367">
        <v>27</v>
      </c>
      <c r="F367">
        <v>4.9000000000000004</v>
      </c>
      <c r="G367">
        <v>74.3</v>
      </c>
      <c r="H367">
        <v>88.9</v>
      </c>
      <c r="I367">
        <v>18.8</v>
      </c>
      <c r="J367">
        <v>28</v>
      </c>
      <c r="K367">
        <v>9.6</v>
      </c>
      <c r="L367">
        <v>99.303218032999993</v>
      </c>
      <c r="M367">
        <v>28.8</v>
      </c>
      <c r="N367">
        <v>57.9</v>
      </c>
    </row>
    <row r="368" spans="1:14" x14ac:dyDescent="0.2">
      <c r="A368" t="s">
        <v>1071</v>
      </c>
      <c r="B368">
        <v>519317</v>
      </c>
      <c r="C368">
        <v>2026</v>
      </c>
      <c r="D368">
        <v>3</v>
      </c>
      <c r="E368">
        <v>30.2</v>
      </c>
      <c r="F368">
        <v>6.3</v>
      </c>
      <c r="G368">
        <v>79.3</v>
      </c>
      <c r="H368">
        <v>94.1</v>
      </c>
      <c r="I368">
        <v>21.5</v>
      </c>
      <c r="J368">
        <v>37.700000000000003</v>
      </c>
      <c r="K368">
        <v>18</v>
      </c>
      <c r="L368">
        <v>104.792676774</v>
      </c>
      <c r="M368">
        <v>38.700000000000003</v>
      </c>
      <c r="N368">
        <v>45.1</v>
      </c>
    </row>
    <row r="369" spans="1:14" x14ac:dyDescent="0.2">
      <c r="A369" t="s">
        <v>1072</v>
      </c>
      <c r="B369">
        <v>694378</v>
      </c>
      <c r="C369">
        <v>2026</v>
      </c>
      <c r="D369">
        <v>2</v>
      </c>
      <c r="E369">
        <v>22.4</v>
      </c>
      <c r="F369">
        <v>8.1999999999999993</v>
      </c>
      <c r="G369">
        <v>71.599999999999994</v>
      </c>
      <c r="H369">
        <v>88.2</v>
      </c>
      <c r="I369">
        <v>18.8</v>
      </c>
      <c r="J369">
        <v>28.8</v>
      </c>
      <c r="K369">
        <v>1.5</v>
      </c>
      <c r="L369">
        <v>99.198196874999994</v>
      </c>
      <c r="M369">
        <v>20.7</v>
      </c>
      <c r="N369">
        <v>53.5</v>
      </c>
    </row>
    <row r="370" spans="1:14" x14ac:dyDescent="0.2">
      <c r="A370" t="s">
        <v>1073</v>
      </c>
      <c r="B370">
        <v>663457</v>
      </c>
      <c r="C370">
        <v>2026</v>
      </c>
      <c r="D370">
        <v>3</v>
      </c>
      <c r="E370">
        <v>21.5</v>
      </c>
      <c r="F370">
        <v>13.2</v>
      </c>
      <c r="G370">
        <v>73</v>
      </c>
      <c r="H370">
        <v>91.6</v>
      </c>
      <c r="I370">
        <v>6.1</v>
      </c>
      <c r="J370">
        <v>38</v>
      </c>
      <c r="K370">
        <v>10.1</v>
      </c>
      <c r="L370">
        <v>101.889468718</v>
      </c>
      <c r="M370">
        <v>19</v>
      </c>
      <c r="N370">
        <v>35.700000000000003</v>
      </c>
    </row>
    <row r="371" spans="1:14" x14ac:dyDescent="0.2">
      <c r="A371" t="s">
        <v>1074</v>
      </c>
      <c r="B371">
        <v>676609</v>
      </c>
      <c r="C371">
        <v>2026</v>
      </c>
      <c r="D371">
        <v>10</v>
      </c>
      <c r="E371">
        <v>23.2</v>
      </c>
      <c r="F371">
        <v>5.4</v>
      </c>
      <c r="G371">
        <v>68.900000000000006</v>
      </c>
      <c r="H371">
        <v>83.8</v>
      </c>
      <c r="I371">
        <v>12.1</v>
      </c>
      <c r="J371">
        <v>29.8</v>
      </c>
      <c r="K371">
        <v>3.8</v>
      </c>
      <c r="L371">
        <v>95.773017732</v>
      </c>
      <c r="M371">
        <v>27.3</v>
      </c>
      <c r="N371">
        <v>49.9</v>
      </c>
    </row>
    <row r="372" spans="1:14" x14ac:dyDescent="0.2">
      <c r="A372" t="s">
        <v>1075</v>
      </c>
      <c r="B372">
        <v>691406</v>
      </c>
      <c r="C372">
        <v>2026</v>
      </c>
      <c r="D372">
        <v>28</v>
      </c>
      <c r="E372">
        <v>19</v>
      </c>
      <c r="F372">
        <v>12.9</v>
      </c>
      <c r="G372">
        <v>79.900000000000006</v>
      </c>
      <c r="H372">
        <v>93.2</v>
      </c>
      <c r="I372">
        <v>8.6999999999999993</v>
      </c>
      <c r="J372">
        <v>27.6</v>
      </c>
      <c r="K372">
        <v>13.6</v>
      </c>
      <c r="L372">
        <v>105.84027321400001</v>
      </c>
      <c r="M372">
        <v>23</v>
      </c>
      <c r="N372">
        <v>42.2</v>
      </c>
    </row>
    <row r="373" spans="1:14" x14ac:dyDescent="0.2">
      <c r="A373" t="s">
        <v>1076</v>
      </c>
      <c r="B373">
        <v>700337</v>
      </c>
      <c r="C373">
        <v>2026</v>
      </c>
      <c r="D373">
        <v>2</v>
      </c>
      <c r="E373">
        <v>23.8</v>
      </c>
      <c r="F373">
        <v>7</v>
      </c>
      <c r="G373">
        <v>68.8</v>
      </c>
      <c r="H373">
        <v>90.9</v>
      </c>
      <c r="I373">
        <v>9.6999999999999993</v>
      </c>
      <c r="J373">
        <v>26.7</v>
      </c>
      <c r="K373">
        <v>2.6</v>
      </c>
      <c r="L373">
        <v>98.817102679000001</v>
      </c>
      <c r="M373">
        <v>23.9</v>
      </c>
      <c r="N373">
        <v>49.2</v>
      </c>
    </row>
    <row r="374" spans="1:14" x14ac:dyDescent="0.2">
      <c r="A374" t="s">
        <v>1077</v>
      </c>
      <c r="B374">
        <v>670231</v>
      </c>
      <c r="C374">
        <v>2026</v>
      </c>
      <c r="D374">
        <v>1</v>
      </c>
      <c r="E374">
        <v>33.299999999999997</v>
      </c>
      <c r="F374">
        <v>14.3</v>
      </c>
      <c r="G374">
        <v>75.599999999999994</v>
      </c>
      <c r="H374">
        <v>100.3</v>
      </c>
      <c r="I374">
        <v>10.199999999999999</v>
      </c>
      <c r="J374">
        <v>36.4</v>
      </c>
      <c r="K374">
        <v>27.3</v>
      </c>
      <c r="L374">
        <v>104.725252</v>
      </c>
      <c r="M374">
        <v>31.7</v>
      </c>
      <c r="N374">
        <v>45.6</v>
      </c>
    </row>
    <row r="375" spans="1:14" x14ac:dyDescent="0.2">
      <c r="A375" t="s">
        <v>1078</v>
      </c>
      <c r="B375">
        <v>701675</v>
      </c>
      <c r="C375">
        <v>2026</v>
      </c>
      <c r="D375">
        <v>8</v>
      </c>
      <c r="E375">
        <v>21.3</v>
      </c>
      <c r="F375">
        <v>5.0999999999999996</v>
      </c>
      <c r="G375">
        <v>70.099999999999994</v>
      </c>
      <c r="H375">
        <v>85.9</v>
      </c>
      <c r="I375">
        <v>10.6</v>
      </c>
      <c r="J375">
        <v>34.1</v>
      </c>
      <c r="K375">
        <v>8.1</v>
      </c>
      <c r="L375">
        <v>97.609021978000001</v>
      </c>
      <c r="M375">
        <v>23</v>
      </c>
      <c r="N375">
        <v>57.2</v>
      </c>
    </row>
    <row r="376" spans="1:14" x14ac:dyDescent="0.2">
      <c r="A376" t="s">
        <v>1079</v>
      </c>
      <c r="B376">
        <v>695508</v>
      </c>
      <c r="C376">
        <v>2026</v>
      </c>
      <c r="D376">
        <v>0</v>
      </c>
      <c r="E376">
        <v>13</v>
      </c>
      <c r="F376">
        <v>8.6999999999999993</v>
      </c>
      <c r="G376">
        <v>70</v>
      </c>
      <c r="H376">
        <v>82.9</v>
      </c>
      <c r="I376">
        <v>10.9</v>
      </c>
      <c r="J376">
        <v>27.8</v>
      </c>
      <c r="K376">
        <v>0</v>
      </c>
      <c r="L376">
        <v>92.242841111000004</v>
      </c>
      <c r="M376">
        <v>19.399999999999999</v>
      </c>
      <c r="N376">
        <v>52.2</v>
      </c>
    </row>
    <row r="377" spans="1:14" x14ac:dyDescent="0.2">
      <c r="A377" t="s">
        <v>1080</v>
      </c>
      <c r="B377">
        <v>645305</v>
      </c>
      <c r="C377">
        <v>2026</v>
      </c>
      <c r="D377">
        <v>0</v>
      </c>
      <c r="E377">
        <v>25.7</v>
      </c>
      <c r="F377">
        <v>2.9</v>
      </c>
      <c r="G377">
        <v>70.5</v>
      </c>
      <c r="H377">
        <v>83.2</v>
      </c>
      <c r="I377">
        <v>17.399999999999999</v>
      </c>
      <c r="J377">
        <v>41.7</v>
      </c>
      <c r="K377">
        <v>0</v>
      </c>
      <c r="L377">
        <v>94.114043332999998</v>
      </c>
      <c r="M377">
        <v>26.9</v>
      </c>
      <c r="N377">
        <v>53.6</v>
      </c>
    </row>
    <row r="378" spans="1:14" x14ac:dyDescent="0.2">
      <c r="A378" t="s">
        <v>1081</v>
      </c>
      <c r="B378">
        <v>668901</v>
      </c>
      <c r="C378">
        <v>2026</v>
      </c>
      <c r="D378">
        <v>11</v>
      </c>
      <c r="E378">
        <v>24</v>
      </c>
      <c r="F378">
        <v>4.7</v>
      </c>
      <c r="G378">
        <v>73.3</v>
      </c>
      <c r="H378">
        <v>89.5</v>
      </c>
      <c r="I378">
        <v>15.7</v>
      </c>
      <c r="J378">
        <v>32</v>
      </c>
      <c r="K378">
        <v>10.1</v>
      </c>
      <c r="L378">
        <v>100.872376742</v>
      </c>
      <c r="M378">
        <v>31.5</v>
      </c>
      <c r="N378">
        <v>54.5</v>
      </c>
    </row>
    <row r="379" spans="1:14" x14ac:dyDescent="0.2">
      <c r="A379" t="s">
        <v>1082</v>
      </c>
      <c r="B379">
        <v>802415</v>
      </c>
      <c r="C379">
        <v>2026</v>
      </c>
      <c r="D379">
        <v>0</v>
      </c>
      <c r="E379">
        <v>9.3000000000000007</v>
      </c>
      <c r="F379">
        <v>5.0999999999999996</v>
      </c>
      <c r="G379">
        <v>65</v>
      </c>
      <c r="H379">
        <v>84</v>
      </c>
      <c r="I379">
        <v>0.8</v>
      </c>
      <c r="J379">
        <v>25</v>
      </c>
      <c r="K379">
        <v>0</v>
      </c>
      <c r="L379">
        <v>93.104514929999993</v>
      </c>
      <c r="M379">
        <v>10.3</v>
      </c>
      <c r="N379">
        <v>47.2</v>
      </c>
    </row>
    <row r="380" spans="1:14" x14ac:dyDescent="0.2">
      <c r="A380" t="s">
        <v>1083</v>
      </c>
      <c r="B380">
        <v>682997</v>
      </c>
      <c r="C380">
        <v>2026</v>
      </c>
      <c r="D380">
        <v>3</v>
      </c>
      <c r="E380">
        <v>30.3</v>
      </c>
      <c r="F380">
        <v>10.1</v>
      </c>
      <c r="G380">
        <v>70.2</v>
      </c>
      <c r="H380">
        <v>84.9</v>
      </c>
      <c r="I380">
        <v>25.1</v>
      </c>
      <c r="J380">
        <v>44.2</v>
      </c>
      <c r="K380">
        <v>7.7</v>
      </c>
      <c r="L380">
        <v>97.137368077000005</v>
      </c>
      <c r="M380">
        <v>30.6</v>
      </c>
      <c r="N380">
        <v>54.4</v>
      </c>
    </row>
    <row r="381" spans="1:14" x14ac:dyDescent="0.2">
      <c r="A381" t="s">
        <v>1084</v>
      </c>
      <c r="B381">
        <v>606992</v>
      </c>
      <c r="C381">
        <v>2026</v>
      </c>
      <c r="D381">
        <v>4</v>
      </c>
      <c r="E381">
        <v>33.299999999999997</v>
      </c>
      <c r="F381">
        <v>7.1</v>
      </c>
      <c r="G381">
        <v>71.599999999999994</v>
      </c>
      <c r="H381">
        <v>86</v>
      </c>
      <c r="I381">
        <v>12</v>
      </c>
      <c r="J381">
        <v>30.6</v>
      </c>
      <c r="K381">
        <v>16.3</v>
      </c>
      <c r="L381">
        <v>97.396006956999997</v>
      </c>
      <c r="M381">
        <v>38.1</v>
      </c>
      <c r="N381">
        <v>48.7</v>
      </c>
    </row>
    <row r="382" spans="1:14" x14ac:dyDescent="0.2">
      <c r="A382" t="s">
        <v>1085</v>
      </c>
      <c r="B382">
        <v>660710</v>
      </c>
      <c r="C382">
        <v>2026</v>
      </c>
      <c r="D382">
        <v>3</v>
      </c>
      <c r="E382">
        <v>26.4</v>
      </c>
      <c r="F382">
        <v>7.7</v>
      </c>
      <c r="G382">
        <v>72.5</v>
      </c>
      <c r="H382">
        <v>87.6</v>
      </c>
      <c r="I382">
        <v>15.8</v>
      </c>
      <c r="J382">
        <v>22</v>
      </c>
      <c r="K382">
        <v>8.5</v>
      </c>
      <c r="L382">
        <v>97.476345862000002</v>
      </c>
      <c r="M382">
        <v>25.5</v>
      </c>
      <c r="N382">
        <v>45.6</v>
      </c>
    </row>
    <row r="383" spans="1:14" x14ac:dyDescent="0.2">
      <c r="A383" t="s">
        <v>1086</v>
      </c>
      <c r="B383">
        <v>630105</v>
      </c>
      <c r="C383">
        <v>2026</v>
      </c>
      <c r="D383">
        <v>3</v>
      </c>
      <c r="E383">
        <v>22.2</v>
      </c>
      <c r="F383">
        <v>9.3000000000000007</v>
      </c>
      <c r="G383">
        <v>72</v>
      </c>
      <c r="H383">
        <v>87.6</v>
      </c>
      <c r="I383">
        <v>7.4</v>
      </c>
      <c r="J383">
        <v>31.5</v>
      </c>
      <c r="K383">
        <v>6.5</v>
      </c>
      <c r="L383">
        <v>97.602479622999994</v>
      </c>
      <c r="M383">
        <v>23.5</v>
      </c>
      <c r="N383">
        <v>45.4</v>
      </c>
    </row>
    <row r="384" spans="1:14" x14ac:dyDescent="0.2">
      <c r="A384" t="s">
        <v>1087</v>
      </c>
      <c r="B384">
        <v>646240</v>
      </c>
      <c r="C384">
        <v>2026</v>
      </c>
      <c r="D384">
        <v>19</v>
      </c>
      <c r="E384">
        <v>27.3</v>
      </c>
      <c r="F384">
        <v>9.3000000000000007</v>
      </c>
      <c r="G384">
        <v>71.8</v>
      </c>
      <c r="H384">
        <v>92.2</v>
      </c>
      <c r="I384">
        <v>14.3</v>
      </c>
      <c r="J384">
        <v>32.700000000000003</v>
      </c>
      <c r="K384">
        <v>11.7</v>
      </c>
      <c r="L384">
        <v>102.791854844</v>
      </c>
      <c r="M384">
        <v>28.9</v>
      </c>
      <c r="N384">
        <v>48.5</v>
      </c>
    </row>
    <row r="385" spans="1:14" x14ac:dyDescent="0.2">
      <c r="A385" t="s">
        <v>1088</v>
      </c>
      <c r="B385">
        <v>665828</v>
      </c>
      <c r="C385">
        <v>2026</v>
      </c>
      <c r="D385">
        <v>0</v>
      </c>
      <c r="E385">
        <v>36.4</v>
      </c>
      <c r="F385">
        <v>0</v>
      </c>
      <c r="G385">
        <v>69.099999999999994</v>
      </c>
      <c r="H385">
        <v>89.6</v>
      </c>
      <c r="I385">
        <v>-5.2</v>
      </c>
      <c r="J385">
        <v>14.3</v>
      </c>
      <c r="K385">
        <v>0</v>
      </c>
      <c r="L385">
        <v>97.676703333000006</v>
      </c>
      <c r="M385">
        <v>15.8</v>
      </c>
      <c r="N385">
        <v>52.8</v>
      </c>
    </row>
    <row r="386" spans="1:14" x14ac:dyDescent="0.2">
      <c r="A386" t="s">
        <v>1089</v>
      </c>
      <c r="B386">
        <v>660271</v>
      </c>
      <c r="C386">
        <v>2026</v>
      </c>
      <c r="D386">
        <v>22</v>
      </c>
      <c r="E386">
        <v>22.9</v>
      </c>
      <c r="F386">
        <v>14.8</v>
      </c>
      <c r="G386">
        <v>74.7</v>
      </c>
      <c r="H386">
        <v>93.6</v>
      </c>
      <c r="I386">
        <v>12.8</v>
      </c>
      <c r="J386">
        <v>39.4</v>
      </c>
      <c r="K386">
        <v>17.100000000000001</v>
      </c>
      <c r="L386">
        <v>103.53978609799999</v>
      </c>
      <c r="M386">
        <v>28.6</v>
      </c>
      <c r="N386">
        <v>44.3</v>
      </c>
    </row>
    <row r="387" spans="1:14" x14ac:dyDescent="0.2">
      <c r="A387" t="s">
        <v>1090</v>
      </c>
      <c r="B387">
        <v>676475</v>
      </c>
      <c r="C387">
        <v>2026</v>
      </c>
      <c r="D387">
        <v>15</v>
      </c>
      <c r="E387">
        <v>15.1</v>
      </c>
      <c r="F387">
        <v>8</v>
      </c>
      <c r="G387">
        <v>73.2</v>
      </c>
      <c r="H387">
        <v>91.7</v>
      </c>
      <c r="I387">
        <v>11.8</v>
      </c>
      <c r="J387">
        <v>33.4</v>
      </c>
      <c r="K387">
        <v>11.6</v>
      </c>
      <c r="L387">
        <v>102.06948199999999</v>
      </c>
      <c r="M387">
        <v>20.8</v>
      </c>
      <c r="N387">
        <v>51.4</v>
      </c>
    </row>
    <row r="388" spans="1:14" x14ac:dyDescent="0.2">
      <c r="A388" t="s">
        <v>1091</v>
      </c>
      <c r="B388">
        <v>678489</v>
      </c>
      <c r="C388">
        <v>2026</v>
      </c>
      <c r="D388">
        <v>2</v>
      </c>
      <c r="E388">
        <v>27.9</v>
      </c>
      <c r="F388">
        <v>7.8</v>
      </c>
      <c r="G388">
        <v>69.3</v>
      </c>
      <c r="H388">
        <v>86.7</v>
      </c>
      <c r="I388">
        <v>18.2</v>
      </c>
      <c r="J388">
        <v>32.9</v>
      </c>
      <c r="K388">
        <v>6.1</v>
      </c>
      <c r="L388">
        <v>95.383469443999999</v>
      </c>
      <c r="M388">
        <v>27.1</v>
      </c>
      <c r="N388">
        <v>43.6</v>
      </c>
    </row>
    <row r="389" spans="1:14" x14ac:dyDescent="0.2">
      <c r="A389" t="s">
        <v>1092</v>
      </c>
      <c r="B389">
        <v>650333</v>
      </c>
      <c r="C389">
        <v>2026</v>
      </c>
      <c r="D389">
        <v>4</v>
      </c>
      <c r="E389">
        <v>4</v>
      </c>
      <c r="F389">
        <v>6</v>
      </c>
      <c r="G389">
        <v>63.3</v>
      </c>
      <c r="H389">
        <v>87</v>
      </c>
      <c r="I389">
        <v>15.3</v>
      </c>
      <c r="J389">
        <v>39.799999999999997</v>
      </c>
      <c r="K389">
        <v>0.6</v>
      </c>
      <c r="L389">
        <v>94.366738807000004</v>
      </c>
      <c r="M389">
        <v>8</v>
      </c>
      <c r="N389">
        <v>49.1</v>
      </c>
    </row>
    <row r="390" spans="1:14" x14ac:dyDescent="0.2">
      <c r="A390" t="s">
        <v>1093</v>
      </c>
      <c r="B390">
        <v>695681</v>
      </c>
      <c r="C390">
        <v>2026</v>
      </c>
      <c r="D390">
        <v>0</v>
      </c>
      <c r="E390">
        <v>50</v>
      </c>
      <c r="F390">
        <v>4.5</v>
      </c>
      <c r="G390">
        <v>74.599999999999994</v>
      </c>
      <c r="H390">
        <v>93.9</v>
      </c>
      <c r="I390">
        <v>15.8</v>
      </c>
      <c r="J390">
        <v>40</v>
      </c>
      <c r="K390">
        <v>10</v>
      </c>
      <c r="L390">
        <v>102.147156</v>
      </c>
      <c r="M390">
        <v>39.299999999999997</v>
      </c>
      <c r="N390">
        <v>60.2</v>
      </c>
    </row>
    <row r="391" spans="1:14" x14ac:dyDescent="0.2">
      <c r="A391" t="s">
        <v>1094</v>
      </c>
      <c r="B391">
        <v>672386</v>
      </c>
      <c r="C391">
        <v>2026</v>
      </c>
      <c r="D391">
        <v>2</v>
      </c>
      <c r="E391">
        <v>13.1</v>
      </c>
      <c r="F391">
        <v>9.1</v>
      </c>
      <c r="G391">
        <v>70.599999999999994</v>
      </c>
      <c r="H391">
        <v>85.8</v>
      </c>
      <c r="I391">
        <v>10.4</v>
      </c>
      <c r="J391">
        <v>27.3</v>
      </c>
      <c r="K391">
        <v>2.6</v>
      </c>
      <c r="L391">
        <v>98.071673590000003</v>
      </c>
      <c r="M391">
        <v>20</v>
      </c>
      <c r="N391">
        <v>44.9</v>
      </c>
    </row>
    <row r="392" spans="1:14" x14ac:dyDescent="0.2">
      <c r="A392" t="s">
        <v>1095</v>
      </c>
      <c r="B392">
        <v>506702</v>
      </c>
      <c r="C392">
        <v>2026</v>
      </c>
      <c r="D392">
        <v>0</v>
      </c>
      <c r="E392">
        <v>40.9</v>
      </c>
      <c r="F392">
        <v>0</v>
      </c>
      <c r="G392">
        <v>67</v>
      </c>
      <c r="H392">
        <v>81.900000000000006</v>
      </c>
      <c r="I392">
        <v>17.100000000000001</v>
      </c>
      <c r="J392">
        <v>23.1</v>
      </c>
      <c r="K392">
        <v>0</v>
      </c>
      <c r="L392">
        <v>93.574700769000003</v>
      </c>
      <c r="M392">
        <v>29.7</v>
      </c>
      <c r="N392">
        <v>56.7</v>
      </c>
    </row>
    <row r="393" spans="1:14" x14ac:dyDescent="0.2">
      <c r="A393" t="s">
        <v>1096</v>
      </c>
      <c r="B393">
        <v>663757</v>
      </c>
      <c r="C393">
        <v>2026</v>
      </c>
      <c r="D393">
        <v>10</v>
      </c>
      <c r="E393">
        <v>16.8</v>
      </c>
      <c r="F393">
        <v>13.5</v>
      </c>
      <c r="G393">
        <v>70.2</v>
      </c>
      <c r="H393">
        <v>91.1</v>
      </c>
      <c r="I393">
        <v>17.3</v>
      </c>
      <c r="J393">
        <v>33.6</v>
      </c>
      <c r="K393">
        <v>10.9</v>
      </c>
      <c r="L393">
        <v>101.06324009399999</v>
      </c>
      <c r="M393">
        <v>16.100000000000001</v>
      </c>
      <c r="N393">
        <v>37.5</v>
      </c>
    </row>
    <row r="394" spans="1:14" x14ac:dyDescent="0.2">
      <c r="A394" t="s">
        <v>1097</v>
      </c>
      <c r="B394">
        <v>805808</v>
      </c>
      <c r="C394">
        <v>2026</v>
      </c>
      <c r="D394">
        <v>8</v>
      </c>
      <c r="E394">
        <v>13.6</v>
      </c>
      <c r="F394">
        <v>14.5</v>
      </c>
      <c r="G394">
        <v>71.3</v>
      </c>
      <c r="H394">
        <v>88</v>
      </c>
      <c r="I394">
        <v>20.8</v>
      </c>
      <c r="J394">
        <v>36.1</v>
      </c>
      <c r="K394">
        <v>7.8</v>
      </c>
      <c r="L394">
        <v>98.507224354000002</v>
      </c>
      <c r="M394">
        <v>15.9</v>
      </c>
      <c r="N394">
        <v>42.4</v>
      </c>
    </row>
    <row r="395" spans="1:14" x14ac:dyDescent="0.2">
      <c r="A395" t="s">
        <v>1098</v>
      </c>
      <c r="B395">
        <v>702222</v>
      </c>
      <c r="C395">
        <v>2026</v>
      </c>
      <c r="D395">
        <v>2</v>
      </c>
      <c r="E395">
        <v>20.6</v>
      </c>
      <c r="F395">
        <v>5.9</v>
      </c>
      <c r="G395">
        <v>68.8</v>
      </c>
      <c r="H395">
        <v>86.8</v>
      </c>
      <c r="I395">
        <v>2.6</v>
      </c>
      <c r="J395">
        <v>31.1</v>
      </c>
      <c r="K395">
        <v>1</v>
      </c>
      <c r="L395">
        <v>97.615296931000003</v>
      </c>
      <c r="M395">
        <v>19.399999999999999</v>
      </c>
      <c r="N395">
        <v>53.5</v>
      </c>
    </row>
    <row r="396" spans="1:14" x14ac:dyDescent="0.2">
      <c r="A396" t="s">
        <v>1099</v>
      </c>
      <c r="B396">
        <v>665052</v>
      </c>
      <c r="C396">
        <v>2026</v>
      </c>
      <c r="D396">
        <v>5</v>
      </c>
      <c r="E396">
        <v>29.7</v>
      </c>
      <c r="F396">
        <v>11</v>
      </c>
      <c r="G396">
        <v>73.8</v>
      </c>
      <c r="H396">
        <v>89.6</v>
      </c>
      <c r="I396">
        <v>1.8</v>
      </c>
      <c r="J396">
        <v>38.5</v>
      </c>
      <c r="K396">
        <v>13.5</v>
      </c>
      <c r="L396">
        <v>105.102647308</v>
      </c>
      <c r="M396">
        <v>38.700000000000003</v>
      </c>
      <c r="N396">
        <v>49.3</v>
      </c>
    </row>
    <row r="397" spans="1:14" x14ac:dyDescent="0.2">
      <c r="A397" t="s">
        <v>1100</v>
      </c>
      <c r="B397">
        <v>607043</v>
      </c>
      <c r="C397">
        <v>2026</v>
      </c>
      <c r="D397">
        <v>9</v>
      </c>
      <c r="E397">
        <v>21.1</v>
      </c>
      <c r="F397">
        <v>7.8</v>
      </c>
      <c r="G397">
        <v>72.5</v>
      </c>
      <c r="H397">
        <v>92.6</v>
      </c>
      <c r="I397">
        <v>10.3</v>
      </c>
      <c r="J397">
        <v>37.1</v>
      </c>
      <c r="K397">
        <v>13.1</v>
      </c>
      <c r="L397">
        <v>102.350861567</v>
      </c>
      <c r="M397">
        <v>22.3</v>
      </c>
      <c r="N397">
        <v>49.9</v>
      </c>
    </row>
    <row r="398" spans="1:14" x14ac:dyDescent="0.2">
      <c r="A398" t="s">
        <v>1101</v>
      </c>
      <c r="B398">
        <v>664056</v>
      </c>
      <c r="C398">
        <v>2026</v>
      </c>
      <c r="D398">
        <v>5</v>
      </c>
      <c r="E398">
        <v>30.6</v>
      </c>
      <c r="F398">
        <v>3.6</v>
      </c>
      <c r="G398">
        <v>72.900000000000006</v>
      </c>
      <c r="H398">
        <v>89.2</v>
      </c>
      <c r="I398">
        <v>12.3</v>
      </c>
      <c r="J398">
        <v>32.9</v>
      </c>
      <c r="K398">
        <v>8.1999999999999993</v>
      </c>
      <c r="L398">
        <v>99.221853514000003</v>
      </c>
      <c r="M398">
        <v>32</v>
      </c>
      <c r="N398">
        <v>53.4</v>
      </c>
    </row>
    <row r="399" spans="1:14" x14ac:dyDescent="0.2">
      <c r="A399" t="s">
        <v>1102</v>
      </c>
      <c r="B399">
        <v>671739</v>
      </c>
      <c r="C399">
        <v>2026</v>
      </c>
      <c r="D399">
        <v>16</v>
      </c>
      <c r="E399">
        <v>20.7</v>
      </c>
      <c r="F399">
        <v>4.2</v>
      </c>
      <c r="G399">
        <v>74.8</v>
      </c>
      <c r="H399">
        <v>91.7</v>
      </c>
      <c r="I399">
        <v>10.4</v>
      </c>
      <c r="J399">
        <v>29.7</v>
      </c>
      <c r="K399">
        <v>13</v>
      </c>
      <c r="L399">
        <v>104.14057823100001</v>
      </c>
      <c r="M399">
        <v>26.3</v>
      </c>
      <c r="N399">
        <v>55.3</v>
      </c>
    </row>
    <row r="400" spans="1:14" x14ac:dyDescent="0.2">
      <c r="A400" t="s">
        <v>1103</v>
      </c>
      <c r="B400">
        <v>681987</v>
      </c>
      <c r="C400">
        <v>2026</v>
      </c>
      <c r="D400">
        <v>1</v>
      </c>
      <c r="E400">
        <v>30.8</v>
      </c>
      <c r="F400">
        <v>12.8</v>
      </c>
      <c r="G400">
        <v>73.400000000000006</v>
      </c>
      <c r="H400">
        <v>88.4</v>
      </c>
      <c r="I400">
        <v>14.9</v>
      </c>
      <c r="J400">
        <v>45</v>
      </c>
      <c r="K400">
        <v>10</v>
      </c>
      <c r="L400">
        <v>99.038324000000003</v>
      </c>
      <c r="M400">
        <v>35.1</v>
      </c>
      <c r="N400">
        <v>47</v>
      </c>
    </row>
    <row r="401" spans="1:14" x14ac:dyDescent="0.2">
      <c r="A401" t="s">
        <v>1104</v>
      </c>
      <c r="B401">
        <v>694377</v>
      </c>
      <c r="C401">
        <v>2026</v>
      </c>
      <c r="D401">
        <v>1</v>
      </c>
      <c r="E401">
        <v>19.8</v>
      </c>
      <c r="F401">
        <v>8.1</v>
      </c>
      <c r="G401">
        <v>72.400000000000006</v>
      </c>
      <c r="H401">
        <v>89.3</v>
      </c>
      <c r="I401">
        <v>6.7</v>
      </c>
      <c r="J401">
        <v>26.7</v>
      </c>
      <c r="K401">
        <v>5</v>
      </c>
      <c r="L401">
        <v>102.00993833299999</v>
      </c>
      <c r="M401">
        <v>18.7</v>
      </c>
      <c r="N401">
        <v>47.5</v>
      </c>
    </row>
    <row r="402" spans="1:14" x14ac:dyDescent="0.2">
      <c r="A402" t="s">
        <v>1105</v>
      </c>
      <c r="B402">
        <v>666624</v>
      </c>
      <c r="C402">
        <v>2026</v>
      </c>
      <c r="D402">
        <v>0</v>
      </c>
      <c r="E402">
        <v>38.4</v>
      </c>
      <c r="F402">
        <v>5.5</v>
      </c>
      <c r="G402">
        <v>75.900000000000006</v>
      </c>
      <c r="H402">
        <v>88.4</v>
      </c>
      <c r="I402">
        <v>19.899999999999999</v>
      </c>
      <c r="J402">
        <v>32.5</v>
      </c>
      <c r="K402">
        <v>2.5</v>
      </c>
      <c r="L402">
        <v>100.5837435</v>
      </c>
      <c r="M402">
        <v>35.6</v>
      </c>
      <c r="N402">
        <v>52.5</v>
      </c>
    </row>
    <row r="403" spans="1:14" x14ac:dyDescent="0.2">
      <c r="A403" t="s">
        <v>1106</v>
      </c>
      <c r="B403">
        <v>656775</v>
      </c>
      <c r="C403">
        <v>2026</v>
      </c>
      <c r="D403">
        <v>11</v>
      </c>
      <c r="E403">
        <v>20.399999999999999</v>
      </c>
      <c r="F403">
        <v>8.1999999999999993</v>
      </c>
      <c r="G403">
        <v>70.599999999999994</v>
      </c>
      <c r="H403">
        <v>88.3</v>
      </c>
      <c r="I403">
        <v>28</v>
      </c>
      <c r="J403">
        <v>27.1</v>
      </c>
      <c r="K403">
        <v>4.0999999999999996</v>
      </c>
      <c r="L403">
        <v>97.583493269000002</v>
      </c>
      <c r="M403">
        <v>22.5</v>
      </c>
      <c r="N403">
        <v>50.1</v>
      </c>
    </row>
    <row r="404" spans="1:14" x14ac:dyDescent="0.2">
      <c r="A404" t="s">
        <v>1107</v>
      </c>
      <c r="B404">
        <v>500743</v>
      </c>
      <c r="C404">
        <v>2026</v>
      </c>
      <c r="D404">
        <v>3</v>
      </c>
      <c r="E404">
        <v>10.199999999999999</v>
      </c>
      <c r="F404">
        <v>6.4</v>
      </c>
      <c r="G404">
        <v>69.2</v>
      </c>
      <c r="H404">
        <v>87.7</v>
      </c>
      <c r="I404">
        <v>13.7</v>
      </c>
      <c r="J404">
        <v>33.299999999999997</v>
      </c>
      <c r="K404">
        <v>7</v>
      </c>
      <c r="L404">
        <v>98.901579999999996</v>
      </c>
      <c r="M404">
        <v>16.2</v>
      </c>
      <c r="N404">
        <v>48</v>
      </c>
    </row>
    <row r="405" spans="1:14" x14ac:dyDescent="0.2">
      <c r="A405" t="s">
        <v>1108</v>
      </c>
      <c r="B405">
        <v>694192</v>
      </c>
      <c r="C405">
        <v>2026</v>
      </c>
      <c r="D405">
        <v>13</v>
      </c>
      <c r="E405">
        <v>24.4</v>
      </c>
      <c r="F405">
        <v>7.1</v>
      </c>
      <c r="G405">
        <v>74.8</v>
      </c>
      <c r="H405">
        <v>92.2</v>
      </c>
      <c r="I405">
        <v>13.5</v>
      </c>
      <c r="J405">
        <v>31.6</v>
      </c>
      <c r="K405">
        <v>13.5</v>
      </c>
      <c r="L405">
        <v>102.587351979</v>
      </c>
      <c r="M405">
        <v>23.1</v>
      </c>
      <c r="N405">
        <v>47.6</v>
      </c>
    </row>
    <row r="406" spans="1:14" x14ac:dyDescent="0.2">
      <c r="A406" t="s">
        <v>1109</v>
      </c>
      <c r="B406">
        <v>660688</v>
      </c>
      <c r="C406">
        <v>2026</v>
      </c>
      <c r="D406">
        <v>7</v>
      </c>
      <c r="E406">
        <v>12.7</v>
      </c>
      <c r="F406">
        <v>3.3</v>
      </c>
      <c r="G406">
        <v>67.599999999999994</v>
      </c>
      <c r="H406">
        <v>89.3</v>
      </c>
      <c r="I406">
        <v>16.3</v>
      </c>
      <c r="J406">
        <v>33.5</v>
      </c>
      <c r="K406">
        <v>5.7</v>
      </c>
      <c r="L406">
        <v>98.554372759000003</v>
      </c>
      <c r="M406">
        <v>14.3</v>
      </c>
      <c r="N406">
        <v>51.5</v>
      </c>
    </row>
    <row r="407" spans="1:14" x14ac:dyDescent="0.2">
      <c r="A407" t="s">
        <v>1110</v>
      </c>
      <c r="B407">
        <v>624431</v>
      </c>
      <c r="C407">
        <v>2026</v>
      </c>
      <c r="D407">
        <v>1</v>
      </c>
      <c r="E407">
        <v>15.7</v>
      </c>
      <c r="F407">
        <v>1.4</v>
      </c>
      <c r="G407">
        <v>69.099999999999994</v>
      </c>
      <c r="H407">
        <v>88</v>
      </c>
      <c r="I407">
        <v>9.9</v>
      </c>
      <c r="J407">
        <v>22.4</v>
      </c>
      <c r="K407">
        <v>1.8</v>
      </c>
      <c r="L407">
        <v>97.742776667000001</v>
      </c>
      <c r="M407">
        <v>21.7</v>
      </c>
      <c r="N407">
        <v>52</v>
      </c>
    </row>
    <row r="408" spans="1:14" x14ac:dyDescent="0.2">
      <c r="A408" t="s">
        <v>1111</v>
      </c>
      <c r="B408">
        <v>669288</v>
      </c>
      <c r="C408">
        <v>2026</v>
      </c>
      <c r="D408">
        <v>0</v>
      </c>
      <c r="E408">
        <v>17.600000000000001</v>
      </c>
      <c r="F408">
        <v>11.8</v>
      </c>
      <c r="G408">
        <v>73.5</v>
      </c>
      <c r="H408">
        <v>92.7</v>
      </c>
      <c r="I408">
        <v>21.8</v>
      </c>
      <c r="J408">
        <v>18.2</v>
      </c>
      <c r="K408">
        <v>0</v>
      </c>
      <c r="L408">
        <v>100.655092</v>
      </c>
      <c r="M408">
        <v>21.7</v>
      </c>
      <c r="N408">
        <v>43.4</v>
      </c>
    </row>
    <row r="409" spans="1:14" x14ac:dyDescent="0.2">
      <c r="A409" t="s">
        <v>1112</v>
      </c>
      <c r="B409">
        <v>645302</v>
      </c>
      <c r="C409">
        <v>2026</v>
      </c>
      <c r="D409">
        <v>0</v>
      </c>
      <c r="E409">
        <v>17</v>
      </c>
      <c r="F409">
        <v>4.7</v>
      </c>
      <c r="G409">
        <v>68.3</v>
      </c>
      <c r="H409">
        <v>85</v>
      </c>
      <c r="I409">
        <v>12.9</v>
      </c>
      <c r="J409">
        <v>32.1</v>
      </c>
      <c r="K409">
        <v>2.5</v>
      </c>
      <c r="L409">
        <v>94.922736923000002</v>
      </c>
      <c r="M409">
        <v>22.5</v>
      </c>
      <c r="N409">
        <v>55</v>
      </c>
    </row>
    <row r="410" spans="1:14" x14ac:dyDescent="0.2">
      <c r="A410" t="s">
        <v>1113</v>
      </c>
      <c r="B410">
        <v>677595</v>
      </c>
      <c r="C410">
        <v>2026</v>
      </c>
      <c r="D410">
        <v>1</v>
      </c>
      <c r="E410">
        <v>36</v>
      </c>
      <c r="F410">
        <v>0</v>
      </c>
      <c r="G410">
        <v>74.8</v>
      </c>
      <c r="H410">
        <v>89.9</v>
      </c>
      <c r="I410">
        <v>6.6</v>
      </c>
      <c r="J410">
        <v>28.1</v>
      </c>
      <c r="K410">
        <v>9.4</v>
      </c>
      <c r="L410">
        <v>101.2104525</v>
      </c>
      <c r="M410">
        <v>32.1</v>
      </c>
      <c r="N410">
        <v>63.4</v>
      </c>
    </row>
    <row r="411" spans="1:14" x14ac:dyDescent="0.2">
      <c r="A411" t="s">
        <v>1114</v>
      </c>
      <c r="B411">
        <v>805672</v>
      </c>
      <c r="C411">
        <v>2026</v>
      </c>
      <c r="D411">
        <v>0</v>
      </c>
      <c r="E411">
        <v>46.2</v>
      </c>
      <c r="F411">
        <v>7.7</v>
      </c>
      <c r="G411">
        <v>73.7</v>
      </c>
      <c r="H411">
        <v>93</v>
      </c>
      <c r="I411">
        <v>17.600000000000001</v>
      </c>
      <c r="J411">
        <v>33.299999999999997</v>
      </c>
      <c r="K411">
        <v>0</v>
      </c>
      <c r="L411">
        <v>99.280630000000002</v>
      </c>
      <c r="M411">
        <v>61.5</v>
      </c>
      <c r="N411">
        <v>49.1</v>
      </c>
    </row>
    <row r="412" spans="1:14" x14ac:dyDescent="0.2">
      <c r="A412" t="s">
        <v>1115</v>
      </c>
      <c r="B412">
        <v>686797</v>
      </c>
      <c r="C412">
        <v>2026</v>
      </c>
      <c r="D412">
        <v>14</v>
      </c>
      <c r="E412">
        <v>16.100000000000001</v>
      </c>
      <c r="F412">
        <v>7.5</v>
      </c>
      <c r="G412">
        <v>70.2</v>
      </c>
      <c r="H412">
        <v>88</v>
      </c>
      <c r="I412">
        <v>15</v>
      </c>
      <c r="J412">
        <v>32.9</v>
      </c>
      <c r="K412">
        <v>3.9</v>
      </c>
      <c r="L412">
        <v>97.146850213999997</v>
      </c>
      <c r="M412">
        <v>21</v>
      </c>
      <c r="N412">
        <v>52</v>
      </c>
    </row>
    <row r="413" spans="1:14" x14ac:dyDescent="0.2">
      <c r="A413" t="s">
        <v>1116</v>
      </c>
      <c r="B413">
        <v>641820</v>
      </c>
      <c r="C413">
        <v>2026</v>
      </c>
      <c r="D413">
        <v>0</v>
      </c>
      <c r="E413">
        <v>21.4</v>
      </c>
      <c r="F413">
        <v>0</v>
      </c>
      <c r="G413">
        <v>74.5</v>
      </c>
      <c r="H413">
        <v>90.5</v>
      </c>
      <c r="I413">
        <v>4.8</v>
      </c>
      <c r="J413">
        <v>9.1</v>
      </c>
      <c r="K413">
        <v>18.2</v>
      </c>
      <c r="L413">
        <v>99.866335000000007</v>
      </c>
      <c r="M413">
        <v>18.8</v>
      </c>
      <c r="N413">
        <v>65.3</v>
      </c>
    </row>
    <row r="414" spans="1:14" x14ac:dyDescent="0.2">
      <c r="A414" t="s">
        <v>1117</v>
      </c>
      <c r="B414">
        <v>666211</v>
      </c>
      <c r="C414">
        <v>2026</v>
      </c>
      <c r="D414">
        <v>3</v>
      </c>
      <c r="E414">
        <v>33.9</v>
      </c>
      <c r="F414">
        <v>7.3</v>
      </c>
      <c r="G414">
        <v>75</v>
      </c>
      <c r="H414">
        <v>89.4</v>
      </c>
      <c r="I414">
        <v>14.5</v>
      </c>
      <c r="J414">
        <v>30.6</v>
      </c>
      <c r="K414">
        <v>9.6999999999999993</v>
      </c>
      <c r="L414">
        <v>100.233970857</v>
      </c>
      <c r="M414">
        <v>37.799999999999997</v>
      </c>
      <c r="N414">
        <v>48</v>
      </c>
    </row>
    <row r="415" spans="1:14" x14ac:dyDescent="0.2">
      <c r="A415" t="s">
        <v>1118</v>
      </c>
      <c r="B415">
        <v>682674</v>
      </c>
      <c r="C415">
        <v>2026</v>
      </c>
      <c r="D415">
        <v>4</v>
      </c>
      <c r="E415">
        <v>25.4</v>
      </c>
      <c r="F415">
        <v>1.7</v>
      </c>
      <c r="G415">
        <v>74.3</v>
      </c>
      <c r="H415">
        <v>88.5</v>
      </c>
      <c r="I415">
        <v>8.1999999999999993</v>
      </c>
      <c r="J415">
        <v>30.2</v>
      </c>
      <c r="K415">
        <v>14</v>
      </c>
      <c r="L415">
        <v>99.907862273000006</v>
      </c>
      <c r="M415">
        <v>27.1</v>
      </c>
      <c r="N415">
        <v>56.3</v>
      </c>
    </row>
    <row r="416" spans="1:14" x14ac:dyDescent="0.2">
      <c r="A416" t="s">
        <v>1119</v>
      </c>
      <c r="B416">
        <v>605141</v>
      </c>
      <c r="C416">
        <v>2026</v>
      </c>
      <c r="D416">
        <v>11</v>
      </c>
      <c r="E416">
        <v>11.2</v>
      </c>
      <c r="F416">
        <v>7.3</v>
      </c>
      <c r="G416">
        <v>69.5</v>
      </c>
      <c r="H416">
        <v>90.5</v>
      </c>
      <c r="I416">
        <v>19</v>
      </c>
      <c r="J416">
        <v>41.4</v>
      </c>
      <c r="K416">
        <v>8.1</v>
      </c>
      <c r="L416">
        <v>98.815916380999994</v>
      </c>
      <c r="M416">
        <v>12.5</v>
      </c>
      <c r="N416">
        <v>41.7</v>
      </c>
    </row>
    <row r="417" spans="1:14" x14ac:dyDescent="0.2">
      <c r="A417" t="s">
        <v>1120</v>
      </c>
      <c r="B417">
        <v>650859</v>
      </c>
      <c r="C417">
        <v>2026</v>
      </c>
      <c r="D417">
        <v>0</v>
      </c>
      <c r="E417">
        <v>11.8</v>
      </c>
      <c r="F417">
        <v>9</v>
      </c>
      <c r="G417">
        <v>71</v>
      </c>
      <c r="H417">
        <v>87.7</v>
      </c>
      <c r="I417">
        <v>3.9</v>
      </c>
      <c r="J417">
        <v>27.7</v>
      </c>
      <c r="K417">
        <v>4.8</v>
      </c>
      <c r="L417">
        <v>98.004214443999999</v>
      </c>
      <c r="M417">
        <v>19.600000000000001</v>
      </c>
      <c r="N417">
        <v>49.8</v>
      </c>
    </row>
    <row r="418" spans="1:14" x14ac:dyDescent="0.2">
      <c r="A418" t="s">
        <v>1121</v>
      </c>
      <c r="B418">
        <v>664034</v>
      </c>
      <c r="C418">
        <v>2026</v>
      </c>
      <c r="D418">
        <v>11</v>
      </c>
      <c r="E418">
        <v>23.6</v>
      </c>
      <c r="F418">
        <v>5.2</v>
      </c>
      <c r="G418">
        <v>71.900000000000006</v>
      </c>
      <c r="H418">
        <v>91.5</v>
      </c>
      <c r="I418">
        <v>12</v>
      </c>
      <c r="J418">
        <v>36.799999999999997</v>
      </c>
      <c r="K418">
        <v>11</v>
      </c>
      <c r="L418">
        <v>101.464526753</v>
      </c>
      <c r="M418">
        <v>28.5</v>
      </c>
      <c r="N418">
        <v>53.6</v>
      </c>
    </row>
    <row r="419" spans="1:14" x14ac:dyDescent="0.2">
      <c r="A419" t="s">
        <v>1122</v>
      </c>
      <c r="B419">
        <v>686217</v>
      </c>
      <c r="C419">
        <v>2026</v>
      </c>
      <c r="D419">
        <v>4</v>
      </c>
      <c r="E419">
        <v>9.9</v>
      </c>
      <c r="F419">
        <v>8</v>
      </c>
      <c r="G419">
        <v>68.3</v>
      </c>
      <c r="H419">
        <v>85.9</v>
      </c>
      <c r="I419">
        <v>9.1</v>
      </c>
      <c r="J419">
        <v>28.2</v>
      </c>
      <c r="K419">
        <v>2</v>
      </c>
      <c r="L419">
        <v>96.579227622999994</v>
      </c>
      <c r="M419">
        <v>10.8</v>
      </c>
      <c r="N419">
        <v>42.8</v>
      </c>
    </row>
    <row r="420" spans="1:14" x14ac:dyDescent="0.2">
      <c r="A420" t="s">
        <v>1123</v>
      </c>
      <c r="B420">
        <v>682663</v>
      </c>
      <c r="C420">
        <v>2026</v>
      </c>
      <c r="D420">
        <v>2</v>
      </c>
      <c r="E420">
        <v>21.7</v>
      </c>
      <c r="F420">
        <v>10.1</v>
      </c>
      <c r="G420">
        <v>75.900000000000006</v>
      </c>
      <c r="H420">
        <v>89.2</v>
      </c>
      <c r="I420">
        <v>6.3</v>
      </c>
      <c r="J420">
        <v>26.7</v>
      </c>
      <c r="K420">
        <v>4.7</v>
      </c>
      <c r="L420">
        <v>101.906475116</v>
      </c>
      <c r="M420">
        <v>31</v>
      </c>
      <c r="N420">
        <v>48.4</v>
      </c>
    </row>
    <row r="421" spans="1:14" x14ac:dyDescent="0.2">
      <c r="A421" t="s">
        <v>1124</v>
      </c>
      <c r="B421">
        <v>666126</v>
      </c>
      <c r="C421">
        <v>2026</v>
      </c>
      <c r="D421">
        <v>6</v>
      </c>
      <c r="E421">
        <v>13</v>
      </c>
      <c r="F421">
        <v>9.6</v>
      </c>
      <c r="G421">
        <v>70.7</v>
      </c>
      <c r="H421">
        <v>89.8</v>
      </c>
      <c r="I421">
        <v>8.4</v>
      </c>
      <c r="J421">
        <v>36.6</v>
      </c>
      <c r="K421">
        <v>8.1</v>
      </c>
      <c r="L421">
        <v>100.13533735599999</v>
      </c>
      <c r="M421">
        <v>19.899999999999999</v>
      </c>
      <c r="N421">
        <v>44.6</v>
      </c>
    </row>
    <row r="422" spans="1:14" x14ac:dyDescent="0.2">
      <c r="A422" t="s">
        <v>1125</v>
      </c>
      <c r="B422">
        <v>682998</v>
      </c>
      <c r="C422">
        <v>2026</v>
      </c>
      <c r="D422">
        <v>13</v>
      </c>
      <c r="E422">
        <v>22.9</v>
      </c>
      <c r="F422">
        <v>11.8</v>
      </c>
      <c r="G422">
        <v>75.599999999999994</v>
      </c>
      <c r="H422">
        <v>91.3</v>
      </c>
      <c r="I422">
        <v>13.2</v>
      </c>
      <c r="J422">
        <v>28.5</v>
      </c>
      <c r="K422">
        <v>11.1</v>
      </c>
      <c r="L422">
        <v>101.904732143</v>
      </c>
      <c r="M422">
        <v>29</v>
      </c>
      <c r="N422">
        <v>45.9</v>
      </c>
    </row>
    <row r="423" spans="1:14" x14ac:dyDescent="0.2">
      <c r="A423" t="s">
        <v>1126</v>
      </c>
      <c r="B423">
        <v>647304</v>
      </c>
      <c r="C423">
        <v>2026</v>
      </c>
      <c r="D423">
        <v>8</v>
      </c>
      <c r="E423">
        <v>12.6</v>
      </c>
      <c r="F423">
        <v>7.7</v>
      </c>
      <c r="G423">
        <v>70.2</v>
      </c>
      <c r="H423">
        <v>87.6</v>
      </c>
      <c r="I423">
        <v>13.3</v>
      </c>
      <c r="J423">
        <v>34.1</v>
      </c>
      <c r="K423">
        <v>4.9000000000000004</v>
      </c>
      <c r="L423">
        <v>98.925442566000001</v>
      </c>
      <c r="M423">
        <v>19</v>
      </c>
      <c r="N423">
        <v>52.2</v>
      </c>
    </row>
    <row r="424" spans="1:14" x14ac:dyDescent="0.2">
      <c r="A424" t="s">
        <v>1127</v>
      </c>
      <c r="B424">
        <v>694249</v>
      </c>
      <c r="C424">
        <v>2026</v>
      </c>
      <c r="D424">
        <v>4</v>
      </c>
      <c r="E424">
        <v>21.8</v>
      </c>
      <c r="F424">
        <v>10.9</v>
      </c>
      <c r="G424">
        <v>73.5</v>
      </c>
      <c r="H424">
        <v>85.9</v>
      </c>
      <c r="I424">
        <v>16.399999999999999</v>
      </c>
      <c r="J424">
        <v>35.9</v>
      </c>
      <c r="K424">
        <v>7.7</v>
      </c>
      <c r="L424">
        <v>98.113941842000003</v>
      </c>
      <c r="M424">
        <v>26</v>
      </c>
      <c r="N424">
        <v>56.3</v>
      </c>
    </row>
    <row r="425" spans="1:14" x14ac:dyDescent="0.2">
      <c r="A425" t="s">
        <v>1128</v>
      </c>
      <c r="B425">
        <v>678554</v>
      </c>
      <c r="C425">
        <v>2026</v>
      </c>
      <c r="D425">
        <v>17</v>
      </c>
      <c r="E425">
        <v>18.600000000000001</v>
      </c>
      <c r="F425">
        <v>11.1</v>
      </c>
      <c r="G425">
        <v>72.599999999999994</v>
      </c>
      <c r="H425">
        <v>87.9</v>
      </c>
      <c r="I425">
        <v>15.8</v>
      </c>
      <c r="J425">
        <v>35.299999999999997</v>
      </c>
      <c r="K425">
        <v>11.9</v>
      </c>
      <c r="L425">
        <v>100.27049802000001</v>
      </c>
      <c r="M425">
        <v>17.100000000000001</v>
      </c>
      <c r="N425">
        <v>40.9</v>
      </c>
    </row>
    <row r="426" spans="1:14" x14ac:dyDescent="0.2">
      <c r="A426" t="s">
        <v>1129</v>
      </c>
      <c r="B426">
        <v>666018</v>
      </c>
      <c r="C426">
        <v>2026</v>
      </c>
      <c r="D426">
        <v>14</v>
      </c>
      <c r="E426">
        <v>21.7</v>
      </c>
      <c r="F426">
        <v>12.6</v>
      </c>
      <c r="G426">
        <v>70</v>
      </c>
      <c r="H426">
        <v>91.1</v>
      </c>
      <c r="I426">
        <v>13.8</v>
      </c>
      <c r="J426">
        <v>38.6</v>
      </c>
      <c r="K426">
        <v>10.5</v>
      </c>
      <c r="L426">
        <v>100.79607093</v>
      </c>
      <c r="M426">
        <v>21.9</v>
      </c>
      <c r="N426">
        <v>45.4</v>
      </c>
    </row>
    <row r="427" spans="1:14" x14ac:dyDescent="0.2">
      <c r="A427" t="s">
        <v>1130</v>
      </c>
      <c r="B427">
        <v>805904</v>
      </c>
      <c r="C427">
        <v>2026</v>
      </c>
      <c r="D427">
        <v>3</v>
      </c>
      <c r="E427">
        <v>39.6</v>
      </c>
      <c r="F427">
        <v>1.9</v>
      </c>
      <c r="G427">
        <v>76.3</v>
      </c>
      <c r="H427">
        <v>92.5</v>
      </c>
      <c r="I427">
        <v>15.3</v>
      </c>
      <c r="J427">
        <v>23.3</v>
      </c>
      <c r="K427">
        <v>16.7</v>
      </c>
      <c r="L427">
        <v>102.600134</v>
      </c>
      <c r="M427">
        <v>43.3</v>
      </c>
      <c r="N427">
        <v>44.3</v>
      </c>
    </row>
    <row r="428" spans="1:14" x14ac:dyDescent="0.2">
      <c r="A428" t="s">
        <v>1131</v>
      </c>
      <c r="B428">
        <v>665861</v>
      </c>
      <c r="C428">
        <v>2026</v>
      </c>
      <c r="D428">
        <v>0</v>
      </c>
      <c r="E428">
        <v>21.1</v>
      </c>
      <c r="F428">
        <v>5.3</v>
      </c>
      <c r="G428">
        <v>69.900000000000006</v>
      </c>
      <c r="H428">
        <v>82</v>
      </c>
      <c r="I428">
        <v>19.2</v>
      </c>
      <c r="J428">
        <v>26.2</v>
      </c>
      <c r="K428">
        <v>0</v>
      </c>
      <c r="L428">
        <v>93.130049048000004</v>
      </c>
      <c r="M428">
        <v>25.7</v>
      </c>
      <c r="N428">
        <v>58.4</v>
      </c>
    </row>
    <row r="429" spans="1:14" x14ac:dyDescent="0.2">
      <c r="A429" t="s">
        <v>1132</v>
      </c>
      <c r="B429">
        <v>669707</v>
      </c>
      <c r="C429">
        <v>2026</v>
      </c>
      <c r="D429">
        <v>1</v>
      </c>
      <c r="E429">
        <v>22.3</v>
      </c>
      <c r="F429">
        <v>7.4</v>
      </c>
      <c r="G429">
        <v>70.7</v>
      </c>
      <c r="H429">
        <v>87.4</v>
      </c>
      <c r="I429">
        <v>4.4000000000000004</v>
      </c>
      <c r="J429">
        <v>32.200000000000003</v>
      </c>
      <c r="K429">
        <v>2.1</v>
      </c>
      <c r="L429">
        <v>98.275240281999999</v>
      </c>
      <c r="M429">
        <v>23</v>
      </c>
      <c r="N429">
        <v>43.7</v>
      </c>
    </row>
    <row r="430" spans="1:14" x14ac:dyDescent="0.2">
      <c r="A430" t="s">
        <v>1133</v>
      </c>
      <c r="B430">
        <v>804668</v>
      </c>
      <c r="C430">
        <v>2026</v>
      </c>
      <c r="D430">
        <v>1</v>
      </c>
      <c r="E430">
        <v>8.3000000000000007</v>
      </c>
      <c r="F430">
        <v>16.7</v>
      </c>
      <c r="G430">
        <v>74.5</v>
      </c>
      <c r="H430">
        <v>89.2</v>
      </c>
      <c r="I430">
        <v>14.2</v>
      </c>
      <c r="J430">
        <v>33.299999999999997</v>
      </c>
      <c r="K430">
        <v>22.2</v>
      </c>
      <c r="L430">
        <v>99.566426000000007</v>
      </c>
      <c r="M430">
        <v>33.299999999999997</v>
      </c>
      <c r="N430">
        <v>42.9</v>
      </c>
    </row>
    <row r="431" spans="1:14" x14ac:dyDescent="0.2">
      <c r="A431" t="s">
        <v>1134</v>
      </c>
      <c r="B431">
        <v>668709</v>
      </c>
      <c r="C431">
        <v>2026</v>
      </c>
      <c r="D431">
        <v>16</v>
      </c>
      <c r="E431">
        <v>19.7</v>
      </c>
      <c r="F431">
        <v>13.7</v>
      </c>
      <c r="G431">
        <v>73.8</v>
      </c>
      <c r="H431">
        <v>89</v>
      </c>
      <c r="I431">
        <v>21.2</v>
      </c>
      <c r="J431">
        <v>43</v>
      </c>
      <c r="K431">
        <v>10.3</v>
      </c>
      <c r="L431">
        <v>100.30797760900001</v>
      </c>
      <c r="M431">
        <v>26.6</v>
      </c>
      <c r="N431">
        <v>45.9</v>
      </c>
    </row>
    <row r="432" spans="1:14" x14ac:dyDescent="0.2">
      <c r="A432" t="s">
        <v>1135</v>
      </c>
      <c r="B432">
        <v>695257</v>
      </c>
      <c r="C432">
        <v>2026</v>
      </c>
      <c r="D432">
        <v>0</v>
      </c>
      <c r="E432">
        <v>40</v>
      </c>
      <c r="F432">
        <v>0</v>
      </c>
      <c r="G432">
        <v>73.2</v>
      </c>
      <c r="H432">
        <v>83.5</v>
      </c>
      <c r="I432">
        <v>23.9</v>
      </c>
      <c r="J432">
        <v>23.8</v>
      </c>
      <c r="K432">
        <v>0</v>
      </c>
      <c r="L432">
        <v>95.118362000000005</v>
      </c>
      <c r="M432">
        <v>38.6</v>
      </c>
      <c r="N432">
        <v>64.2</v>
      </c>
    </row>
    <row r="433" spans="1:14" x14ac:dyDescent="0.2">
      <c r="A433" t="s">
        <v>1136</v>
      </c>
      <c r="B433">
        <v>677587</v>
      </c>
      <c r="C433">
        <v>2026</v>
      </c>
      <c r="D433">
        <v>8</v>
      </c>
      <c r="E433">
        <v>13.6</v>
      </c>
      <c r="F433">
        <v>7.5</v>
      </c>
      <c r="G433">
        <v>70.099999999999994</v>
      </c>
      <c r="H433">
        <v>86.5</v>
      </c>
      <c r="I433">
        <v>13.8</v>
      </c>
      <c r="J433">
        <v>34.1</v>
      </c>
      <c r="K433">
        <v>2.9</v>
      </c>
      <c r="L433">
        <v>97.027794592999996</v>
      </c>
      <c r="M433">
        <v>23.1</v>
      </c>
      <c r="N433">
        <v>49.8</v>
      </c>
    </row>
    <row r="434" spans="1:14" x14ac:dyDescent="0.2">
      <c r="A434" t="s">
        <v>1137</v>
      </c>
      <c r="B434">
        <v>620443</v>
      </c>
      <c r="C434">
        <v>2026</v>
      </c>
      <c r="D434">
        <v>2</v>
      </c>
      <c r="E434">
        <v>21.3</v>
      </c>
      <c r="F434">
        <v>5.6</v>
      </c>
      <c r="G434">
        <v>70.400000000000006</v>
      </c>
      <c r="H434">
        <v>87.6</v>
      </c>
      <c r="I434">
        <v>6</v>
      </c>
      <c r="J434">
        <v>29.4</v>
      </c>
      <c r="K434">
        <v>4.0999999999999996</v>
      </c>
      <c r="L434">
        <v>98.099288197000007</v>
      </c>
      <c r="M434">
        <v>22.5</v>
      </c>
      <c r="N434">
        <v>47.9</v>
      </c>
    </row>
    <row r="435" spans="1:14" x14ac:dyDescent="0.2">
      <c r="A435" t="s">
        <v>1138</v>
      </c>
      <c r="B435">
        <v>689414</v>
      </c>
      <c r="C435">
        <v>2026</v>
      </c>
      <c r="D435">
        <v>13</v>
      </c>
      <c r="E435">
        <v>8.8000000000000007</v>
      </c>
      <c r="F435">
        <v>9.6</v>
      </c>
      <c r="G435">
        <v>68.5</v>
      </c>
      <c r="H435">
        <v>85.4</v>
      </c>
      <c r="I435">
        <v>13.5</v>
      </c>
      <c r="J435">
        <v>25.9</v>
      </c>
      <c r="K435">
        <v>3.6</v>
      </c>
      <c r="L435">
        <v>96.872233750000007</v>
      </c>
      <c r="M435">
        <v>10.3</v>
      </c>
      <c r="N435">
        <v>41.4</v>
      </c>
    </row>
    <row r="436" spans="1:14" x14ac:dyDescent="0.2">
      <c r="A436" t="s">
        <v>1139</v>
      </c>
      <c r="B436">
        <v>656976</v>
      </c>
      <c r="C436">
        <v>2026</v>
      </c>
      <c r="D436">
        <v>1</v>
      </c>
      <c r="E436">
        <v>20.2</v>
      </c>
      <c r="F436">
        <v>11.2</v>
      </c>
      <c r="G436">
        <v>70.8</v>
      </c>
      <c r="H436">
        <v>86.1</v>
      </c>
      <c r="I436">
        <v>14.6</v>
      </c>
      <c r="J436">
        <v>23</v>
      </c>
      <c r="K436">
        <v>3.3</v>
      </c>
      <c r="L436">
        <v>96.875927097000002</v>
      </c>
      <c r="M436">
        <v>17.2</v>
      </c>
      <c r="N436">
        <v>43.7</v>
      </c>
    </row>
    <row r="437" spans="1:14" x14ac:dyDescent="0.2">
      <c r="A437" t="s">
        <v>1140</v>
      </c>
      <c r="B437">
        <v>677950</v>
      </c>
      <c r="C437">
        <v>2026</v>
      </c>
      <c r="D437">
        <v>2</v>
      </c>
      <c r="E437">
        <v>23</v>
      </c>
      <c r="F437">
        <v>3</v>
      </c>
      <c r="G437">
        <v>69.5</v>
      </c>
      <c r="H437">
        <v>89.9</v>
      </c>
      <c r="I437">
        <v>11.7</v>
      </c>
      <c r="J437">
        <v>36.1</v>
      </c>
      <c r="K437">
        <v>8.6</v>
      </c>
      <c r="L437">
        <v>100.46764647099999</v>
      </c>
      <c r="M437">
        <v>26.7</v>
      </c>
      <c r="N437">
        <v>57.4</v>
      </c>
    </row>
    <row r="438" spans="1:14" x14ac:dyDescent="0.2">
      <c r="A438" t="s">
        <v>1141</v>
      </c>
      <c r="B438">
        <v>543510</v>
      </c>
      <c r="C438">
        <v>2026</v>
      </c>
      <c r="D438">
        <v>2</v>
      </c>
      <c r="E438">
        <v>26.1</v>
      </c>
      <c r="F438">
        <v>1.4</v>
      </c>
      <c r="G438">
        <v>72.900000000000006</v>
      </c>
      <c r="H438">
        <v>89.6</v>
      </c>
      <c r="I438">
        <v>4.4000000000000004</v>
      </c>
      <c r="J438">
        <v>26</v>
      </c>
      <c r="K438">
        <v>8</v>
      </c>
      <c r="L438">
        <v>100.275342917</v>
      </c>
      <c r="M438">
        <v>30.2</v>
      </c>
      <c r="N438">
        <v>53.5</v>
      </c>
    </row>
    <row r="439" spans="1:14" x14ac:dyDescent="0.2">
      <c r="A439" t="s">
        <v>1142</v>
      </c>
      <c r="B439">
        <v>800325</v>
      </c>
      <c r="C439">
        <v>2026</v>
      </c>
      <c r="D439">
        <v>0</v>
      </c>
      <c r="E439">
        <v>11.1</v>
      </c>
      <c r="F439">
        <v>22.2</v>
      </c>
      <c r="G439">
        <v>70.900000000000006</v>
      </c>
      <c r="H439">
        <v>87</v>
      </c>
      <c r="I439">
        <v>6.5</v>
      </c>
      <c r="J439">
        <v>33.299999999999997</v>
      </c>
      <c r="K439">
        <v>0</v>
      </c>
      <c r="L439">
        <v>96.052246667000006</v>
      </c>
      <c r="M439">
        <v>9.1</v>
      </c>
      <c r="N439">
        <v>26.2</v>
      </c>
    </row>
    <row r="440" spans="1:14" x14ac:dyDescent="0.2">
      <c r="A440" t="s">
        <v>1143</v>
      </c>
      <c r="B440">
        <v>695238</v>
      </c>
      <c r="C440">
        <v>2026</v>
      </c>
      <c r="D440">
        <v>0</v>
      </c>
      <c r="E440">
        <v>15.6</v>
      </c>
      <c r="F440">
        <v>22.2</v>
      </c>
      <c r="G440">
        <v>69.900000000000006</v>
      </c>
      <c r="H440">
        <v>81.900000000000006</v>
      </c>
      <c r="I440">
        <v>4.9000000000000004</v>
      </c>
      <c r="J440">
        <v>28.6</v>
      </c>
      <c r="K440">
        <v>0</v>
      </c>
      <c r="L440">
        <v>92.435565714000006</v>
      </c>
      <c r="M440">
        <v>16.899999999999999</v>
      </c>
      <c r="N440">
        <v>40.299999999999997</v>
      </c>
    </row>
    <row r="441" spans="1:14" x14ac:dyDescent="0.2">
      <c r="A441" t="s">
        <v>1144</v>
      </c>
      <c r="B441">
        <v>702176</v>
      </c>
      <c r="C441">
        <v>2026</v>
      </c>
      <c r="D441">
        <v>0</v>
      </c>
      <c r="E441">
        <v>18.8</v>
      </c>
      <c r="F441">
        <v>12.5</v>
      </c>
      <c r="G441">
        <v>69.8</v>
      </c>
      <c r="H441">
        <v>92.1</v>
      </c>
      <c r="I441">
        <v>13</v>
      </c>
      <c r="J441">
        <v>45.5</v>
      </c>
      <c r="K441">
        <v>9.1</v>
      </c>
      <c r="L441">
        <v>100.204316667</v>
      </c>
      <c r="M441">
        <v>29</v>
      </c>
      <c r="N441">
        <v>47.7</v>
      </c>
    </row>
    <row r="442" spans="1:14" x14ac:dyDescent="0.2">
      <c r="A442" t="s">
        <v>1145</v>
      </c>
      <c r="B442">
        <v>683748</v>
      </c>
      <c r="C442">
        <v>2026</v>
      </c>
      <c r="D442">
        <v>5</v>
      </c>
      <c r="E442">
        <v>23.1</v>
      </c>
      <c r="F442">
        <v>12.5</v>
      </c>
      <c r="G442">
        <v>74.099999999999994</v>
      </c>
      <c r="H442">
        <v>88.2</v>
      </c>
      <c r="I442">
        <v>22.6</v>
      </c>
      <c r="J442">
        <v>32.799999999999997</v>
      </c>
      <c r="K442">
        <v>9</v>
      </c>
      <c r="L442">
        <v>99.603671875000003</v>
      </c>
      <c r="M442">
        <v>25</v>
      </c>
      <c r="N442">
        <v>51.6</v>
      </c>
    </row>
    <row r="443" spans="1:14" x14ac:dyDescent="0.2">
      <c r="A443" t="s">
        <v>1146</v>
      </c>
      <c r="B443">
        <v>695600</v>
      </c>
      <c r="C443">
        <v>2026</v>
      </c>
      <c r="D443">
        <v>13</v>
      </c>
      <c r="E443">
        <v>29.2</v>
      </c>
      <c r="F443">
        <v>9</v>
      </c>
      <c r="G443">
        <v>73.900000000000006</v>
      </c>
      <c r="H443">
        <v>90.8</v>
      </c>
      <c r="I443">
        <v>20.2</v>
      </c>
      <c r="J443">
        <v>31.9</v>
      </c>
      <c r="K443">
        <v>9.4</v>
      </c>
      <c r="L443">
        <v>101.767161698</v>
      </c>
      <c r="M443">
        <v>29.3</v>
      </c>
      <c r="N443">
        <v>44.4</v>
      </c>
    </row>
    <row r="444" spans="1:14" x14ac:dyDescent="0.2">
      <c r="A444" t="s">
        <v>1147</v>
      </c>
      <c r="B444">
        <v>665877</v>
      </c>
      <c r="C444">
        <v>2026</v>
      </c>
      <c r="D444">
        <v>4</v>
      </c>
      <c r="E444">
        <v>14.5</v>
      </c>
      <c r="F444">
        <v>6.9</v>
      </c>
      <c r="G444">
        <v>68.099999999999994</v>
      </c>
      <c r="H444">
        <v>84.9</v>
      </c>
      <c r="I444">
        <v>17.600000000000001</v>
      </c>
      <c r="J444">
        <v>32.6</v>
      </c>
      <c r="K444">
        <v>2.2000000000000002</v>
      </c>
      <c r="L444">
        <v>95.809670896</v>
      </c>
      <c r="M444">
        <v>14.5</v>
      </c>
      <c r="N444">
        <v>40.5</v>
      </c>
    </row>
    <row r="445" spans="1:14" x14ac:dyDescent="0.2">
      <c r="A445" t="s">
        <v>1148</v>
      </c>
      <c r="B445">
        <v>640459</v>
      </c>
      <c r="C445">
        <v>2026</v>
      </c>
      <c r="D445">
        <v>0</v>
      </c>
      <c r="E445">
        <v>28.6</v>
      </c>
      <c r="F445">
        <v>7.1</v>
      </c>
      <c r="G445">
        <v>72.900000000000006</v>
      </c>
      <c r="H445">
        <v>86.3</v>
      </c>
      <c r="I445">
        <v>17.399999999999999</v>
      </c>
      <c r="J445">
        <v>33.299999999999997</v>
      </c>
      <c r="K445">
        <v>11.1</v>
      </c>
      <c r="L445">
        <v>92.851564999999994</v>
      </c>
      <c r="M445">
        <v>33.299999999999997</v>
      </c>
      <c r="N445">
        <v>53.3</v>
      </c>
    </row>
    <row r="446" spans="1:14" x14ac:dyDescent="0.2">
      <c r="A446" t="s">
        <v>1149</v>
      </c>
      <c r="B446">
        <v>694203</v>
      </c>
      <c r="C446">
        <v>2026</v>
      </c>
      <c r="D446">
        <v>4</v>
      </c>
      <c r="E446">
        <v>25.2</v>
      </c>
      <c r="F446">
        <v>6.1</v>
      </c>
      <c r="G446">
        <v>74</v>
      </c>
      <c r="H446">
        <v>87.4</v>
      </c>
      <c r="I446">
        <v>11.5</v>
      </c>
      <c r="J446">
        <v>33.299999999999997</v>
      </c>
      <c r="K446">
        <v>6.4</v>
      </c>
      <c r="L446">
        <v>97.918214614999997</v>
      </c>
      <c r="M446">
        <v>24.3</v>
      </c>
      <c r="N446">
        <v>53.6</v>
      </c>
    </row>
    <row r="447" spans="1:14" x14ac:dyDescent="0.2">
      <c r="A447" t="s">
        <v>1150</v>
      </c>
      <c r="B447">
        <v>687401</v>
      </c>
      <c r="C447">
        <v>2026</v>
      </c>
      <c r="D447">
        <v>3</v>
      </c>
      <c r="E447">
        <v>17.399999999999999</v>
      </c>
      <c r="F447">
        <v>8.6999999999999993</v>
      </c>
      <c r="G447">
        <v>72.8</v>
      </c>
      <c r="H447">
        <v>87.6</v>
      </c>
      <c r="I447">
        <v>6.2</v>
      </c>
      <c r="J447">
        <v>25.8</v>
      </c>
      <c r="K447">
        <v>3.9</v>
      </c>
      <c r="L447">
        <v>98.669223059000004</v>
      </c>
      <c r="M447">
        <v>18.7</v>
      </c>
      <c r="N447">
        <v>44.1</v>
      </c>
    </row>
    <row r="448" spans="1:14" x14ac:dyDescent="0.2">
      <c r="A448" t="s">
        <v>1151</v>
      </c>
      <c r="B448">
        <v>608324</v>
      </c>
      <c r="C448">
        <v>2026</v>
      </c>
      <c r="D448">
        <v>9</v>
      </c>
      <c r="E448">
        <v>15.3</v>
      </c>
      <c r="F448">
        <v>11.4</v>
      </c>
      <c r="G448">
        <v>69.8</v>
      </c>
      <c r="H448">
        <v>87.9</v>
      </c>
      <c r="I448">
        <v>17.100000000000001</v>
      </c>
      <c r="J448">
        <v>31.1</v>
      </c>
      <c r="K448">
        <v>4.2</v>
      </c>
      <c r="L448">
        <v>97.795856947999994</v>
      </c>
      <c r="M448">
        <v>16.3</v>
      </c>
      <c r="N448">
        <v>40.6</v>
      </c>
    </row>
    <row r="449" spans="1:14" x14ac:dyDescent="0.2">
      <c r="A449" t="s">
        <v>1152</v>
      </c>
      <c r="B449">
        <v>680869</v>
      </c>
      <c r="C449">
        <v>2026</v>
      </c>
      <c r="D449">
        <v>11</v>
      </c>
      <c r="E449">
        <v>25.1</v>
      </c>
      <c r="F449">
        <v>5.7</v>
      </c>
      <c r="G449">
        <v>73.8</v>
      </c>
      <c r="H449">
        <v>88.8</v>
      </c>
      <c r="I449">
        <v>15.7</v>
      </c>
      <c r="J449">
        <v>28.7</v>
      </c>
      <c r="K449">
        <v>6.6</v>
      </c>
      <c r="L449">
        <v>99.452808888999996</v>
      </c>
      <c r="M449">
        <v>27.5</v>
      </c>
      <c r="N449">
        <v>46.3</v>
      </c>
    </row>
    <row r="450" spans="1:14" x14ac:dyDescent="0.2">
      <c r="A450" t="s">
        <v>1153</v>
      </c>
      <c r="B450">
        <v>699013</v>
      </c>
      <c r="C450">
        <v>2026</v>
      </c>
      <c r="D450">
        <v>10</v>
      </c>
      <c r="E450">
        <v>36.200000000000003</v>
      </c>
      <c r="F450">
        <v>9.5</v>
      </c>
      <c r="G450">
        <v>74.900000000000006</v>
      </c>
      <c r="H450">
        <v>92.1</v>
      </c>
      <c r="I450">
        <v>18.2</v>
      </c>
      <c r="J450">
        <v>38.6</v>
      </c>
      <c r="K450">
        <v>29.8</v>
      </c>
      <c r="L450">
        <v>103.985512759</v>
      </c>
      <c r="M450">
        <v>37.9</v>
      </c>
      <c r="N450">
        <v>45.6</v>
      </c>
    </row>
    <row r="451" spans="1:14" x14ac:dyDescent="0.2">
      <c r="A451" t="s">
        <v>1154</v>
      </c>
      <c r="B451">
        <v>702284</v>
      </c>
      <c r="C451">
        <v>2026</v>
      </c>
      <c r="D451">
        <v>11</v>
      </c>
      <c r="E451">
        <v>18.2</v>
      </c>
      <c r="F451">
        <v>6.5</v>
      </c>
      <c r="G451">
        <v>71.7</v>
      </c>
      <c r="H451">
        <v>88.6</v>
      </c>
      <c r="I451">
        <v>14.7</v>
      </c>
      <c r="J451">
        <v>34.799999999999997</v>
      </c>
      <c r="K451">
        <v>5</v>
      </c>
      <c r="L451">
        <v>99.408365461000002</v>
      </c>
      <c r="M451">
        <v>19.899999999999999</v>
      </c>
      <c r="N451">
        <v>48.3</v>
      </c>
    </row>
    <row r="452" spans="1:14" x14ac:dyDescent="0.2">
      <c r="A452" t="s">
        <v>1155</v>
      </c>
      <c r="B452">
        <v>699393</v>
      </c>
      <c r="C452">
        <v>2026</v>
      </c>
      <c r="D452">
        <v>1</v>
      </c>
      <c r="E452">
        <v>15.9</v>
      </c>
      <c r="F452">
        <v>6.3</v>
      </c>
      <c r="G452">
        <v>72.599999999999994</v>
      </c>
      <c r="H452">
        <v>90.5</v>
      </c>
      <c r="I452">
        <v>9.8000000000000007</v>
      </c>
      <c r="J452">
        <v>34.700000000000003</v>
      </c>
      <c r="K452">
        <v>4.0999999999999996</v>
      </c>
      <c r="L452">
        <v>99.681837083000005</v>
      </c>
      <c r="M452">
        <v>19</v>
      </c>
      <c r="N452">
        <v>49.3</v>
      </c>
    </row>
    <row r="453" spans="1:14" x14ac:dyDescent="0.2">
      <c r="A453" t="s">
        <v>1156</v>
      </c>
      <c r="B453">
        <v>622268</v>
      </c>
      <c r="C453">
        <v>2026</v>
      </c>
      <c r="D453">
        <v>3</v>
      </c>
      <c r="E453">
        <v>18.600000000000001</v>
      </c>
      <c r="F453">
        <v>5.2</v>
      </c>
      <c r="G453">
        <v>67.400000000000006</v>
      </c>
      <c r="H453">
        <v>87.9</v>
      </c>
      <c r="I453">
        <v>13.4</v>
      </c>
      <c r="J453">
        <v>43.2</v>
      </c>
      <c r="K453">
        <v>5.4</v>
      </c>
      <c r="L453">
        <v>98.489543611000002</v>
      </c>
      <c r="M453">
        <v>24</v>
      </c>
      <c r="N453">
        <v>52.3</v>
      </c>
    </row>
    <row r="454" spans="1:14" x14ac:dyDescent="0.2">
      <c r="A454" t="s">
        <v>1157</v>
      </c>
      <c r="B454">
        <v>605137</v>
      </c>
      <c r="C454">
        <v>2026</v>
      </c>
      <c r="D454">
        <v>13</v>
      </c>
      <c r="E454">
        <v>21.6</v>
      </c>
      <c r="F454">
        <v>7.5</v>
      </c>
      <c r="G454">
        <v>72.099999999999994</v>
      </c>
      <c r="H454">
        <v>89.9</v>
      </c>
      <c r="I454">
        <v>14.1</v>
      </c>
      <c r="J454">
        <v>34.1</v>
      </c>
      <c r="K454">
        <v>10.6</v>
      </c>
      <c r="L454">
        <v>100.397067197</v>
      </c>
      <c r="M454">
        <v>24.8</v>
      </c>
      <c r="N454">
        <v>50.9</v>
      </c>
    </row>
    <row r="455" spans="1:14" x14ac:dyDescent="0.2">
      <c r="A455" t="s">
        <v>1158</v>
      </c>
      <c r="B455">
        <v>682626</v>
      </c>
      <c r="C455">
        <v>2026</v>
      </c>
      <c r="D455">
        <v>9</v>
      </c>
      <c r="E455">
        <v>25.9</v>
      </c>
      <c r="F455">
        <v>7.3</v>
      </c>
      <c r="G455">
        <v>74.2</v>
      </c>
      <c r="H455">
        <v>90</v>
      </c>
      <c r="I455">
        <v>10.1</v>
      </c>
      <c r="J455">
        <v>30.7</v>
      </c>
      <c r="K455">
        <v>15.3</v>
      </c>
      <c r="L455">
        <v>102.32369573299999</v>
      </c>
      <c r="M455">
        <v>32.299999999999997</v>
      </c>
      <c r="N455">
        <v>47.5</v>
      </c>
    </row>
    <row r="456" spans="1:14" x14ac:dyDescent="0.2">
      <c r="A456" t="s">
        <v>1159</v>
      </c>
      <c r="B456">
        <v>671056</v>
      </c>
      <c r="C456">
        <v>2026</v>
      </c>
      <c r="D456">
        <v>11</v>
      </c>
      <c r="E456">
        <v>16.100000000000001</v>
      </c>
      <c r="F456">
        <v>12.1</v>
      </c>
      <c r="G456">
        <v>73.900000000000006</v>
      </c>
      <c r="H456">
        <v>89.2</v>
      </c>
      <c r="I456">
        <v>9.4</v>
      </c>
      <c r="J456">
        <v>29.3</v>
      </c>
      <c r="K456">
        <v>5.8</v>
      </c>
      <c r="L456">
        <v>100.412175899</v>
      </c>
      <c r="M456">
        <v>20.100000000000001</v>
      </c>
      <c r="N456">
        <v>43.9</v>
      </c>
    </row>
    <row r="457" spans="1:14" x14ac:dyDescent="0.2">
      <c r="A457" t="s">
        <v>1160</v>
      </c>
      <c r="B457">
        <v>701807</v>
      </c>
      <c r="C457">
        <v>2026</v>
      </c>
      <c r="D457">
        <v>11</v>
      </c>
      <c r="E457">
        <v>21.5</v>
      </c>
      <c r="F457">
        <v>7.5</v>
      </c>
      <c r="G457">
        <v>71.099999999999994</v>
      </c>
      <c r="H457">
        <v>89.4</v>
      </c>
      <c r="I457">
        <v>11.5</v>
      </c>
      <c r="J457">
        <v>39.6</v>
      </c>
      <c r="K457">
        <v>7.9</v>
      </c>
      <c r="L457">
        <v>100.151075373</v>
      </c>
      <c r="M457">
        <v>21.1</v>
      </c>
      <c r="N457">
        <v>44.6</v>
      </c>
    </row>
    <row r="458" spans="1:14" x14ac:dyDescent="0.2">
      <c r="A458" t="s">
        <v>1161</v>
      </c>
      <c r="B458">
        <v>596115</v>
      </c>
      <c r="C458">
        <v>2026</v>
      </c>
      <c r="D458">
        <v>3</v>
      </c>
      <c r="E458">
        <v>32.4</v>
      </c>
      <c r="F458">
        <v>4.5</v>
      </c>
      <c r="G458">
        <v>71.099999999999994</v>
      </c>
      <c r="H458">
        <v>88.9</v>
      </c>
      <c r="I458">
        <v>12.9</v>
      </c>
      <c r="J458">
        <v>30</v>
      </c>
      <c r="K458">
        <v>3.6</v>
      </c>
      <c r="L458">
        <v>99.268155636000003</v>
      </c>
      <c r="M458">
        <v>31.7</v>
      </c>
      <c r="N458">
        <v>55.4</v>
      </c>
    </row>
    <row r="459" spans="1:14" x14ac:dyDescent="0.2">
      <c r="A459" t="s">
        <v>1162</v>
      </c>
      <c r="B459">
        <v>679529</v>
      </c>
      <c r="C459">
        <v>2026</v>
      </c>
      <c r="D459">
        <v>16</v>
      </c>
      <c r="E459">
        <v>32.9</v>
      </c>
      <c r="F459">
        <v>11.1</v>
      </c>
      <c r="G459">
        <v>73.099999999999994</v>
      </c>
      <c r="H459">
        <v>89.9</v>
      </c>
      <c r="I459">
        <v>19.600000000000001</v>
      </c>
      <c r="J459">
        <v>46.5</v>
      </c>
      <c r="K459">
        <v>14.4</v>
      </c>
      <c r="L459">
        <v>100.39176633700001</v>
      </c>
      <c r="M459">
        <v>31</v>
      </c>
      <c r="N459">
        <v>42.9</v>
      </c>
    </row>
    <row r="460" spans="1:14" x14ac:dyDescent="0.2">
      <c r="A460" t="s">
        <v>1163</v>
      </c>
      <c r="B460">
        <v>669392</v>
      </c>
      <c r="C460">
        <v>2026</v>
      </c>
      <c r="D460">
        <v>1</v>
      </c>
      <c r="E460">
        <v>29.4</v>
      </c>
      <c r="F460">
        <v>11.8</v>
      </c>
      <c r="G460">
        <v>68.099999999999994</v>
      </c>
      <c r="H460">
        <v>85.2</v>
      </c>
      <c r="I460">
        <v>6.7</v>
      </c>
      <c r="J460">
        <v>36.700000000000003</v>
      </c>
      <c r="K460">
        <v>3.3</v>
      </c>
      <c r="L460">
        <v>94.857600769000001</v>
      </c>
      <c r="M460">
        <v>24.3</v>
      </c>
      <c r="N460">
        <v>41.1</v>
      </c>
    </row>
    <row r="461" spans="1:14" x14ac:dyDescent="0.2">
      <c r="A461" t="s">
        <v>1164</v>
      </c>
      <c r="B461">
        <v>677594</v>
      </c>
      <c r="C461">
        <v>2026</v>
      </c>
      <c r="D461">
        <v>14</v>
      </c>
      <c r="E461">
        <v>20.9</v>
      </c>
      <c r="F461">
        <v>7.7</v>
      </c>
      <c r="G461">
        <v>76.5</v>
      </c>
      <c r="H461">
        <v>90.2</v>
      </c>
      <c r="I461">
        <v>12.5</v>
      </c>
      <c r="J461">
        <v>33.1</v>
      </c>
      <c r="K461">
        <v>9.1</v>
      </c>
      <c r="L461">
        <v>102.558899474</v>
      </c>
      <c r="M461">
        <v>27.5</v>
      </c>
      <c r="N461">
        <v>51.8</v>
      </c>
    </row>
    <row r="462" spans="1:14" x14ac:dyDescent="0.2">
      <c r="A462" t="s">
        <v>1165</v>
      </c>
      <c r="B462">
        <v>682987</v>
      </c>
      <c r="C462">
        <v>2026</v>
      </c>
      <c r="D462">
        <v>2</v>
      </c>
      <c r="E462">
        <v>41.5</v>
      </c>
      <c r="F462">
        <v>11</v>
      </c>
      <c r="G462">
        <v>77.8</v>
      </c>
      <c r="H462">
        <v>94.7</v>
      </c>
      <c r="I462">
        <v>19.399999999999999</v>
      </c>
      <c r="J462">
        <v>33.299999999999997</v>
      </c>
      <c r="K462">
        <v>5.0999999999999996</v>
      </c>
      <c r="L462">
        <v>103.01263849999999</v>
      </c>
      <c r="M462">
        <v>41.7</v>
      </c>
      <c r="N462">
        <v>53</v>
      </c>
    </row>
    <row r="463" spans="1:14" x14ac:dyDescent="0.2">
      <c r="A463" t="s">
        <v>1166</v>
      </c>
      <c r="B463">
        <v>673962</v>
      </c>
      <c r="C463">
        <v>2026</v>
      </c>
      <c r="D463">
        <v>9</v>
      </c>
      <c r="E463">
        <v>18.399999999999999</v>
      </c>
      <c r="F463">
        <v>8.5</v>
      </c>
      <c r="G463">
        <v>70.599999999999994</v>
      </c>
      <c r="H463">
        <v>90.5</v>
      </c>
      <c r="I463">
        <v>11.5</v>
      </c>
      <c r="J463">
        <v>40.1</v>
      </c>
      <c r="K463">
        <v>6.3</v>
      </c>
      <c r="L463">
        <v>100.357882815</v>
      </c>
      <c r="M463">
        <v>18.899999999999999</v>
      </c>
      <c r="N463">
        <v>46.1</v>
      </c>
    </row>
    <row r="464" spans="1:14" x14ac:dyDescent="0.2">
      <c r="A464" t="s">
        <v>1167</v>
      </c>
      <c r="B464">
        <v>694388</v>
      </c>
      <c r="C464">
        <v>2026</v>
      </c>
      <c r="D464">
        <v>1</v>
      </c>
      <c r="E464">
        <v>25.8</v>
      </c>
      <c r="F464">
        <v>11.7</v>
      </c>
      <c r="G464">
        <v>71.8</v>
      </c>
      <c r="H464">
        <v>89</v>
      </c>
      <c r="I464">
        <v>11.9</v>
      </c>
      <c r="J464">
        <v>32.9</v>
      </c>
      <c r="K464">
        <v>6.8</v>
      </c>
      <c r="L464">
        <v>98.647922777999995</v>
      </c>
      <c r="M464">
        <v>31</v>
      </c>
      <c r="N464">
        <v>48.8</v>
      </c>
    </row>
    <row r="465" spans="1:14" x14ac:dyDescent="0.2">
      <c r="A465" t="s">
        <v>1168</v>
      </c>
      <c r="B465">
        <v>682829</v>
      </c>
      <c r="C465">
        <v>2026</v>
      </c>
      <c r="D465">
        <v>15</v>
      </c>
      <c r="E465">
        <v>28.5</v>
      </c>
      <c r="F465">
        <v>9.6999999999999993</v>
      </c>
      <c r="G465">
        <v>75.099999999999994</v>
      </c>
      <c r="H465">
        <v>94.4</v>
      </c>
      <c r="I465">
        <v>11.1</v>
      </c>
      <c r="J465">
        <v>36.1</v>
      </c>
      <c r="K465">
        <v>15.3</v>
      </c>
      <c r="L465">
        <v>105.188901188</v>
      </c>
      <c r="M465">
        <v>28.5</v>
      </c>
      <c r="N465">
        <v>41.3</v>
      </c>
    </row>
    <row r="466" spans="1:14" x14ac:dyDescent="0.2">
      <c r="A466" t="s">
        <v>1169</v>
      </c>
      <c r="B466">
        <v>621438</v>
      </c>
      <c r="C466">
        <v>2026</v>
      </c>
      <c r="D466">
        <v>6</v>
      </c>
      <c r="E466">
        <v>17.8</v>
      </c>
      <c r="F466">
        <v>3.9</v>
      </c>
      <c r="G466">
        <v>71.5</v>
      </c>
      <c r="H466">
        <v>86.7</v>
      </c>
      <c r="I466">
        <v>20.3</v>
      </c>
      <c r="J466">
        <v>34.700000000000003</v>
      </c>
      <c r="K466">
        <v>8.9</v>
      </c>
      <c r="L466">
        <v>97.908400611999994</v>
      </c>
      <c r="M466">
        <v>23</v>
      </c>
      <c r="N466">
        <v>52.4</v>
      </c>
    </row>
    <row r="467" spans="1:14" x14ac:dyDescent="0.2">
      <c r="A467" t="s">
        <v>1170</v>
      </c>
      <c r="B467">
        <v>677951</v>
      </c>
      <c r="C467">
        <v>2026</v>
      </c>
      <c r="D467">
        <v>13</v>
      </c>
      <c r="E467">
        <v>17.100000000000001</v>
      </c>
      <c r="F467">
        <v>9.6999999999999993</v>
      </c>
      <c r="G467">
        <v>73.7</v>
      </c>
      <c r="H467">
        <v>93.2</v>
      </c>
      <c r="I467">
        <v>16.600000000000001</v>
      </c>
      <c r="J467">
        <v>38.1</v>
      </c>
      <c r="K467">
        <v>12.1</v>
      </c>
      <c r="L467">
        <v>103.667301655</v>
      </c>
      <c r="M467">
        <v>24.8</v>
      </c>
      <c r="N467">
        <v>48</v>
      </c>
    </row>
    <row r="468" spans="1:14" x14ac:dyDescent="0.2">
      <c r="A468" t="s">
        <v>1171</v>
      </c>
      <c r="B468">
        <v>666152</v>
      </c>
      <c r="C468">
        <v>2026</v>
      </c>
      <c r="D468">
        <v>3</v>
      </c>
      <c r="E468">
        <v>22.7</v>
      </c>
      <c r="F468">
        <v>9.1999999999999993</v>
      </c>
      <c r="G468">
        <v>69.7</v>
      </c>
      <c r="H468">
        <v>86.8</v>
      </c>
      <c r="I468">
        <v>11.6</v>
      </c>
      <c r="J468">
        <v>25</v>
      </c>
      <c r="K468">
        <v>3.8</v>
      </c>
      <c r="L468">
        <v>97.002309701000001</v>
      </c>
      <c r="M468">
        <v>21.9</v>
      </c>
      <c r="N468">
        <v>45.2</v>
      </c>
    </row>
    <row r="469" spans="1:14" x14ac:dyDescent="0.2">
      <c r="A469" t="s">
        <v>1172</v>
      </c>
      <c r="B469">
        <v>810938</v>
      </c>
      <c r="C469">
        <v>2026</v>
      </c>
      <c r="D469">
        <v>2</v>
      </c>
      <c r="E469">
        <v>19.2</v>
      </c>
      <c r="F469">
        <v>8.6999999999999993</v>
      </c>
      <c r="G469">
        <v>69.7</v>
      </c>
      <c r="H469">
        <v>87.9</v>
      </c>
      <c r="I469">
        <v>5.6</v>
      </c>
      <c r="J469">
        <v>33.799999999999997</v>
      </c>
      <c r="K469">
        <v>1.9</v>
      </c>
      <c r="L469">
        <v>98.371237402999995</v>
      </c>
      <c r="M469">
        <v>16.600000000000001</v>
      </c>
      <c r="N469">
        <v>42.2</v>
      </c>
    </row>
    <row r="470" spans="1:14" x14ac:dyDescent="0.2">
      <c r="A470" t="s">
        <v>1173</v>
      </c>
      <c r="B470">
        <v>687221</v>
      </c>
      <c r="C470">
        <v>2026</v>
      </c>
      <c r="D470">
        <v>10</v>
      </c>
      <c r="E470">
        <v>25.9</v>
      </c>
      <c r="F470">
        <v>9.3000000000000007</v>
      </c>
      <c r="G470">
        <v>72.400000000000006</v>
      </c>
      <c r="H470">
        <v>89.1</v>
      </c>
      <c r="I470">
        <v>18</v>
      </c>
      <c r="J470">
        <v>35.700000000000003</v>
      </c>
      <c r="K470">
        <v>11.6</v>
      </c>
      <c r="L470">
        <v>101.598696875</v>
      </c>
      <c r="M470">
        <v>29.9</v>
      </c>
      <c r="N470">
        <v>50.3</v>
      </c>
    </row>
    <row r="471" spans="1:14" x14ac:dyDescent="0.2">
      <c r="A471" t="s">
        <v>1174</v>
      </c>
      <c r="B471">
        <v>677649</v>
      </c>
      <c r="C471">
        <v>2026</v>
      </c>
      <c r="D471">
        <v>10</v>
      </c>
      <c r="E471">
        <v>22.8</v>
      </c>
      <c r="F471">
        <v>7.4</v>
      </c>
      <c r="G471">
        <v>72.7</v>
      </c>
      <c r="H471">
        <v>88.5</v>
      </c>
      <c r="I471">
        <v>10.9</v>
      </c>
      <c r="J471">
        <v>34.5</v>
      </c>
      <c r="K471">
        <v>6.3</v>
      </c>
      <c r="L471">
        <v>99.379115818000002</v>
      </c>
      <c r="M471">
        <v>27.2</v>
      </c>
      <c r="N471">
        <v>51.5</v>
      </c>
    </row>
    <row r="472" spans="1:14" x14ac:dyDescent="0.2">
      <c r="A472" t="s">
        <v>1175</v>
      </c>
      <c r="B472">
        <v>641555</v>
      </c>
      <c r="C472">
        <v>2026</v>
      </c>
      <c r="D472">
        <v>0</v>
      </c>
      <c r="E472">
        <v>19.600000000000001</v>
      </c>
      <c r="F472">
        <v>6.5</v>
      </c>
      <c r="G472">
        <v>69.7</v>
      </c>
      <c r="H472">
        <v>89.1</v>
      </c>
      <c r="I472">
        <v>10.6</v>
      </c>
      <c r="J472">
        <v>29.4</v>
      </c>
      <c r="K472">
        <v>4.5</v>
      </c>
      <c r="L472">
        <v>98.718896364000003</v>
      </c>
      <c r="M472">
        <v>28.1</v>
      </c>
      <c r="N472">
        <v>45.5</v>
      </c>
    </row>
    <row r="473" spans="1:14" x14ac:dyDescent="0.2">
      <c r="A473" t="s">
        <v>1176</v>
      </c>
      <c r="B473">
        <v>669699</v>
      </c>
      <c r="C473">
        <v>2026</v>
      </c>
      <c r="D473">
        <v>3</v>
      </c>
      <c r="E473">
        <v>17.600000000000001</v>
      </c>
      <c r="F473">
        <v>2.4</v>
      </c>
      <c r="G473">
        <v>69.5</v>
      </c>
      <c r="H473">
        <v>89.8</v>
      </c>
      <c r="I473">
        <v>14.1</v>
      </c>
      <c r="J473">
        <v>27.9</v>
      </c>
      <c r="K473">
        <v>7.5</v>
      </c>
      <c r="L473">
        <v>98.317569090999996</v>
      </c>
      <c r="M473">
        <v>23</v>
      </c>
      <c r="N473">
        <v>61.7</v>
      </c>
    </row>
    <row r="474" spans="1:14" x14ac:dyDescent="0.2">
      <c r="A474" t="s">
        <v>1177</v>
      </c>
      <c r="B474">
        <v>683737</v>
      </c>
      <c r="C474">
        <v>2026</v>
      </c>
      <c r="D474">
        <v>11</v>
      </c>
      <c r="E474">
        <v>22.2</v>
      </c>
      <c r="F474">
        <v>14.9</v>
      </c>
      <c r="G474">
        <v>68.3</v>
      </c>
      <c r="H474">
        <v>88.3</v>
      </c>
      <c r="I474">
        <v>15</v>
      </c>
      <c r="J474">
        <v>34.200000000000003</v>
      </c>
      <c r="K474">
        <v>10.1</v>
      </c>
      <c r="L474">
        <v>98.894592813000003</v>
      </c>
      <c r="M474">
        <v>24.9</v>
      </c>
      <c r="N474">
        <v>42</v>
      </c>
    </row>
    <row r="475" spans="1:14" x14ac:dyDescent="0.2">
      <c r="A475" t="s">
        <v>1178</v>
      </c>
      <c r="B475">
        <v>703607</v>
      </c>
      <c r="C475">
        <v>2026</v>
      </c>
      <c r="D475">
        <v>3</v>
      </c>
      <c r="E475">
        <v>27.7</v>
      </c>
      <c r="F475">
        <v>7.4</v>
      </c>
      <c r="G475">
        <v>76.900000000000006</v>
      </c>
      <c r="H475">
        <v>89.9</v>
      </c>
      <c r="I475">
        <v>-0.1</v>
      </c>
      <c r="J475">
        <v>24.6</v>
      </c>
      <c r="K475">
        <v>6.6</v>
      </c>
      <c r="L475">
        <v>104.081397705</v>
      </c>
      <c r="M475">
        <v>34.1</v>
      </c>
      <c r="N475">
        <v>50.3</v>
      </c>
    </row>
    <row r="476" spans="1:14" x14ac:dyDescent="0.2">
      <c r="A476" t="s">
        <v>1179</v>
      </c>
      <c r="B476">
        <v>688363</v>
      </c>
      <c r="C476">
        <v>2026</v>
      </c>
      <c r="D476">
        <v>1</v>
      </c>
      <c r="E476">
        <v>23.7</v>
      </c>
      <c r="F476">
        <v>5.2</v>
      </c>
      <c r="G476">
        <v>71.8</v>
      </c>
      <c r="H476">
        <v>83.9</v>
      </c>
      <c r="I476">
        <v>23.1</v>
      </c>
      <c r="J476">
        <v>33.299999999999997</v>
      </c>
      <c r="K476">
        <v>4.3</v>
      </c>
      <c r="L476">
        <v>94.976231471000006</v>
      </c>
      <c r="M476">
        <v>22.6</v>
      </c>
      <c r="N476">
        <v>44.1</v>
      </c>
    </row>
    <row r="477" spans="1:14" x14ac:dyDescent="0.2">
      <c r="A477" t="s">
        <v>1180</v>
      </c>
      <c r="B477">
        <v>669720</v>
      </c>
      <c r="C477">
        <v>2026</v>
      </c>
      <c r="D477">
        <v>1</v>
      </c>
      <c r="E477">
        <v>29.5</v>
      </c>
      <c r="F477">
        <v>2.2999999999999998</v>
      </c>
      <c r="G477">
        <v>72.400000000000006</v>
      </c>
      <c r="H477">
        <v>87</v>
      </c>
      <c r="I477">
        <v>-1.3</v>
      </c>
      <c r="J477">
        <v>30</v>
      </c>
      <c r="K477">
        <v>3.3</v>
      </c>
      <c r="L477">
        <v>100.09015733299999</v>
      </c>
      <c r="M477">
        <v>37.1</v>
      </c>
      <c r="N477">
        <v>53.6</v>
      </c>
    </row>
    <row r="478" spans="1:14" x14ac:dyDescent="0.2">
      <c r="A478" t="s">
        <v>1181</v>
      </c>
      <c r="B478">
        <v>682729</v>
      </c>
      <c r="C478">
        <v>2026</v>
      </c>
      <c r="D478">
        <v>2</v>
      </c>
      <c r="E478">
        <v>26.3</v>
      </c>
      <c r="F478">
        <v>10.5</v>
      </c>
      <c r="G478">
        <v>69.3</v>
      </c>
      <c r="H478">
        <v>86</v>
      </c>
      <c r="I478">
        <v>10.8</v>
      </c>
      <c r="J478">
        <v>25</v>
      </c>
      <c r="K478">
        <v>0</v>
      </c>
      <c r="L478">
        <v>96.335411667000002</v>
      </c>
      <c r="M478">
        <v>30.8</v>
      </c>
      <c r="N478">
        <v>46.4</v>
      </c>
    </row>
    <row r="479" spans="1:14" x14ac:dyDescent="0.2">
      <c r="A479" t="s">
        <v>1182</v>
      </c>
      <c r="B479">
        <v>686681</v>
      </c>
      <c r="C479">
        <v>2026</v>
      </c>
      <c r="D479">
        <v>7</v>
      </c>
      <c r="E479">
        <v>16.7</v>
      </c>
      <c r="F479">
        <v>5.7</v>
      </c>
      <c r="G479">
        <v>72</v>
      </c>
      <c r="H479">
        <v>90.5</v>
      </c>
      <c r="I479">
        <v>18.100000000000001</v>
      </c>
      <c r="J479">
        <v>33.5</v>
      </c>
      <c r="K479">
        <v>6.8</v>
      </c>
      <c r="L479">
        <v>99.176617097000005</v>
      </c>
      <c r="M479">
        <v>20</v>
      </c>
      <c r="N479">
        <v>51.3</v>
      </c>
    </row>
    <row r="480" spans="1:14" x14ac:dyDescent="0.2">
      <c r="A480" t="s">
        <v>1183</v>
      </c>
      <c r="B480">
        <v>656582</v>
      </c>
      <c r="C480">
        <v>2026</v>
      </c>
      <c r="D480">
        <v>1</v>
      </c>
      <c r="E480">
        <v>33.299999999999997</v>
      </c>
      <c r="F480">
        <v>13.3</v>
      </c>
      <c r="G480">
        <v>72.900000000000006</v>
      </c>
      <c r="H480">
        <v>92.5</v>
      </c>
      <c r="I480">
        <v>15.2</v>
      </c>
      <c r="J480">
        <v>41.7</v>
      </c>
      <c r="K480">
        <v>8.3000000000000007</v>
      </c>
      <c r="L480">
        <v>101.13650250000001</v>
      </c>
      <c r="M480">
        <v>24.7</v>
      </c>
      <c r="N480">
        <v>40.5</v>
      </c>
    </row>
    <row r="481" spans="1:14" x14ac:dyDescent="0.2">
      <c r="A481" t="s">
        <v>1184</v>
      </c>
      <c r="B481">
        <v>641933</v>
      </c>
      <c r="C481">
        <v>2026</v>
      </c>
      <c r="D481">
        <v>6</v>
      </c>
      <c r="E481">
        <v>28.6</v>
      </c>
      <c r="F481">
        <v>10.9</v>
      </c>
      <c r="G481">
        <v>72.099999999999994</v>
      </c>
      <c r="H481">
        <v>90.1</v>
      </c>
      <c r="I481">
        <v>24.5</v>
      </c>
      <c r="J481">
        <v>35.6</v>
      </c>
      <c r="K481">
        <v>9.6</v>
      </c>
      <c r="L481">
        <v>100.716432885</v>
      </c>
      <c r="M481">
        <v>31.5</v>
      </c>
      <c r="N481">
        <v>46</v>
      </c>
    </row>
    <row r="482" spans="1:14" x14ac:dyDescent="0.2">
      <c r="A482" t="s">
        <v>1185</v>
      </c>
      <c r="B482">
        <v>691594</v>
      </c>
      <c r="C482">
        <v>2026</v>
      </c>
      <c r="D482">
        <v>3</v>
      </c>
      <c r="E482">
        <v>8.6</v>
      </c>
      <c r="F482">
        <v>5.7</v>
      </c>
      <c r="G482">
        <v>69.5</v>
      </c>
      <c r="H482">
        <v>87.4</v>
      </c>
      <c r="I482">
        <v>11.2</v>
      </c>
      <c r="J482">
        <v>29.7</v>
      </c>
      <c r="K482">
        <v>1.4</v>
      </c>
      <c r="L482">
        <v>97.196619108999997</v>
      </c>
      <c r="M482">
        <v>11.2</v>
      </c>
      <c r="N482">
        <v>51.1</v>
      </c>
    </row>
    <row r="483" spans="1:14" x14ac:dyDescent="0.2">
      <c r="A483" t="s">
        <v>1186</v>
      </c>
      <c r="B483">
        <v>663697</v>
      </c>
      <c r="C483">
        <v>2026</v>
      </c>
      <c r="D483">
        <v>2</v>
      </c>
      <c r="E483">
        <v>22.4</v>
      </c>
      <c r="F483">
        <v>13.8</v>
      </c>
      <c r="G483">
        <v>71</v>
      </c>
      <c r="H483">
        <v>85.7</v>
      </c>
      <c r="I483">
        <v>28.3</v>
      </c>
      <c r="J483">
        <v>28.6</v>
      </c>
      <c r="K483">
        <v>5.7</v>
      </c>
      <c r="L483">
        <v>96.473557778</v>
      </c>
      <c r="M483">
        <v>22.6</v>
      </c>
      <c r="N483">
        <v>39.200000000000003</v>
      </c>
    </row>
    <row r="484" spans="1:14" x14ac:dyDescent="0.2">
      <c r="A484" t="s">
        <v>1187</v>
      </c>
      <c r="B484">
        <v>621493</v>
      </c>
      <c r="C484">
        <v>2026</v>
      </c>
      <c r="D484">
        <v>6</v>
      </c>
      <c r="E484">
        <v>20.7</v>
      </c>
      <c r="F484">
        <v>17.100000000000001</v>
      </c>
      <c r="G484">
        <v>68.2</v>
      </c>
      <c r="H484">
        <v>89.4</v>
      </c>
      <c r="I484">
        <v>14.6</v>
      </c>
      <c r="J484">
        <v>36.799999999999997</v>
      </c>
      <c r="K484">
        <v>5.6</v>
      </c>
      <c r="L484">
        <v>98.981116716000002</v>
      </c>
      <c r="M484">
        <v>19.2</v>
      </c>
      <c r="N484">
        <v>34.4</v>
      </c>
    </row>
    <row r="485" spans="1:14" x14ac:dyDescent="0.2">
      <c r="A485" t="s">
        <v>1188</v>
      </c>
      <c r="B485">
        <v>656305</v>
      </c>
      <c r="C485">
        <v>2026</v>
      </c>
      <c r="D485">
        <v>7</v>
      </c>
      <c r="E485">
        <v>23</v>
      </c>
      <c r="F485">
        <v>10.5</v>
      </c>
      <c r="G485">
        <v>76.2</v>
      </c>
      <c r="H485">
        <v>88.2</v>
      </c>
      <c r="I485">
        <v>11.3</v>
      </c>
      <c r="J485">
        <v>25.3</v>
      </c>
      <c r="K485">
        <v>6.6</v>
      </c>
      <c r="L485">
        <v>99.903629381000002</v>
      </c>
      <c r="M485">
        <v>23.1</v>
      </c>
      <c r="N485">
        <v>44.5</v>
      </c>
    </row>
    <row r="486" spans="1:14" x14ac:dyDescent="0.2">
      <c r="A486" t="s">
        <v>1189</v>
      </c>
      <c r="B486">
        <v>805249</v>
      </c>
      <c r="C486">
        <v>2026</v>
      </c>
      <c r="D486">
        <v>0</v>
      </c>
      <c r="E486">
        <v>37</v>
      </c>
      <c r="F486">
        <v>3.7</v>
      </c>
      <c r="G486">
        <v>71.400000000000006</v>
      </c>
      <c r="H486">
        <v>81.5</v>
      </c>
      <c r="I486">
        <v>27</v>
      </c>
      <c r="J486">
        <v>33.299999999999997</v>
      </c>
      <c r="K486">
        <v>0</v>
      </c>
      <c r="L486">
        <v>89.912854999999993</v>
      </c>
      <c r="M486">
        <v>37.9</v>
      </c>
      <c r="N486">
        <v>48.3</v>
      </c>
    </row>
    <row r="487" spans="1:14" x14ac:dyDescent="0.2">
      <c r="A487" t="s">
        <v>1190</v>
      </c>
      <c r="B487">
        <v>649966</v>
      </c>
      <c r="C487">
        <v>2026</v>
      </c>
      <c r="D487">
        <v>1</v>
      </c>
      <c r="E487">
        <v>11.1</v>
      </c>
      <c r="F487">
        <v>11.1</v>
      </c>
      <c r="G487">
        <v>70.400000000000006</v>
      </c>
      <c r="H487">
        <v>84.5</v>
      </c>
      <c r="I487">
        <v>14.2</v>
      </c>
      <c r="J487">
        <v>38.1</v>
      </c>
      <c r="K487">
        <v>4.8</v>
      </c>
      <c r="L487">
        <v>94.826673635999995</v>
      </c>
      <c r="M487">
        <v>9.6</v>
      </c>
      <c r="N487">
        <v>49.5</v>
      </c>
    </row>
    <row r="488" spans="1:14" x14ac:dyDescent="0.2">
      <c r="A488" t="s">
        <v>1191</v>
      </c>
      <c r="B488">
        <v>690976</v>
      </c>
      <c r="C488">
        <v>2026</v>
      </c>
      <c r="D488">
        <v>3</v>
      </c>
      <c r="E488">
        <v>30</v>
      </c>
      <c r="F488">
        <v>10</v>
      </c>
      <c r="G488">
        <v>70.8</v>
      </c>
      <c r="H488">
        <v>88.7</v>
      </c>
      <c r="I488">
        <v>10.7</v>
      </c>
      <c r="J488">
        <v>35.1</v>
      </c>
      <c r="K488">
        <v>5.3</v>
      </c>
      <c r="L488">
        <v>98.883037459999997</v>
      </c>
      <c r="M488">
        <v>29.3</v>
      </c>
      <c r="N488">
        <v>40.799999999999997</v>
      </c>
    </row>
    <row r="489" spans="1:14" x14ac:dyDescent="0.2">
      <c r="A489" t="s">
        <v>1192</v>
      </c>
      <c r="B489">
        <v>669701</v>
      </c>
      <c r="C489">
        <v>2026</v>
      </c>
      <c r="D489">
        <v>1</v>
      </c>
      <c r="E489">
        <v>18.8</v>
      </c>
      <c r="F489">
        <v>10.1</v>
      </c>
      <c r="G489">
        <v>69.099999999999994</v>
      </c>
      <c r="H489">
        <v>86.8</v>
      </c>
      <c r="I489">
        <v>16.100000000000001</v>
      </c>
      <c r="J489">
        <v>33</v>
      </c>
      <c r="K489">
        <v>6.2</v>
      </c>
      <c r="L489">
        <v>97.633460208000002</v>
      </c>
      <c r="M489">
        <v>22.4</v>
      </c>
      <c r="N489">
        <v>48.5</v>
      </c>
    </row>
    <row r="490" spans="1:14" x14ac:dyDescent="0.2">
      <c r="A490" t="s">
        <v>1193</v>
      </c>
      <c r="B490">
        <v>807747</v>
      </c>
      <c r="C490">
        <v>2026</v>
      </c>
      <c r="D490">
        <v>0</v>
      </c>
      <c r="E490">
        <v>16.7</v>
      </c>
      <c r="F490">
        <v>0</v>
      </c>
      <c r="G490">
        <v>61.7</v>
      </c>
      <c r="H490">
        <v>87.9</v>
      </c>
      <c r="I490">
        <v>3.1</v>
      </c>
      <c r="J490">
        <v>36</v>
      </c>
      <c r="K490">
        <v>0</v>
      </c>
      <c r="L490">
        <v>94.065359166999997</v>
      </c>
      <c r="M490">
        <v>15.2</v>
      </c>
      <c r="N490">
        <v>47.4</v>
      </c>
    </row>
    <row r="491" spans="1:14" x14ac:dyDescent="0.2">
      <c r="A491" t="s">
        <v>1194</v>
      </c>
      <c r="B491">
        <v>666969</v>
      </c>
      <c r="C491">
        <v>2026</v>
      </c>
      <c r="D491">
        <v>7</v>
      </c>
      <c r="E491">
        <v>32.4</v>
      </c>
      <c r="F491">
        <v>8.1</v>
      </c>
      <c r="G491">
        <v>71.7</v>
      </c>
      <c r="H491">
        <v>92.1</v>
      </c>
      <c r="I491">
        <v>14.6</v>
      </c>
      <c r="J491">
        <v>38</v>
      </c>
      <c r="K491">
        <v>9.3000000000000007</v>
      </c>
      <c r="L491">
        <v>101.568957067</v>
      </c>
      <c r="M491">
        <v>34.6</v>
      </c>
      <c r="N491">
        <v>45.4</v>
      </c>
    </row>
    <row r="492" spans="1:14" x14ac:dyDescent="0.2">
      <c r="A492" t="s">
        <v>1195</v>
      </c>
      <c r="B492">
        <v>596142</v>
      </c>
      <c r="C492">
        <v>2026</v>
      </c>
      <c r="D492">
        <v>8</v>
      </c>
      <c r="E492">
        <v>17.399999999999999</v>
      </c>
      <c r="F492">
        <v>19.100000000000001</v>
      </c>
      <c r="G492">
        <v>71.7</v>
      </c>
      <c r="H492">
        <v>88.6</v>
      </c>
      <c r="I492">
        <v>15</v>
      </c>
      <c r="J492">
        <v>27.9</v>
      </c>
      <c r="K492">
        <v>9</v>
      </c>
      <c r="L492">
        <v>100.420659464</v>
      </c>
      <c r="M492">
        <v>25.8</v>
      </c>
      <c r="N492">
        <v>34.6</v>
      </c>
    </row>
    <row r="493" spans="1:14" x14ac:dyDescent="0.2">
      <c r="A493" t="s">
        <v>1196</v>
      </c>
      <c r="B493">
        <v>815873</v>
      </c>
      <c r="C493">
        <v>2026</v>
      </c>
      <c r="D493">
        <v>1</v>
      </c>
      <c r="E493">
        <v>37.5</v>
      </c>
      <c r="F493">
        <v>0</v>
      </c>
      <c r="G493">
        <v>74.8</v>
      </c>
      <c r="H493">
        <v>93.5</v>
      </c>
      <c r="I493">
        <v>23</v>
      </c>
      <c r="J493">
        <v>25</v>
      </c>
      <c r="K493">
        <v>0</v>
      </c>
      <c r="L493">
        <v>101.568303</v>
      </c>
      <c r="M493">
        <v>34.700000000000003</v>
      </c>
      <c r="N493">
        <v>50.3</v>
      </c>
    </row>
    <row r="494" spans="1:14" x14ac:dyDescent="0.2">
      <c r="A494" t="s">
        <v>1197</v>
      </c>
      <c r="B494">
        <v>663837</v>
      </c>
      <c r="C494">
        <v>2026</v>
      </c>
      <c r="D494">
        <v>5</v>
      </c>
      <c r="E494">
        <v>16.399999999999999</v>
      </c>
      <c r="F494">
        <v>7.3</v>
      </c>
      <c r="G494">
        <v>70.8</v>
      </c>
      <c r="H494">
        <v>87.6</v>
      </c>
      <c r="I494">
        <v>17.5</v>
      </c>
      <c r="J494">
        <v>35.5</v>
      </c>
      <c r="K494">
        <v>5</v>
      </c>
      <c r="L494">
        <v>98.484637172000006</v>
      </c>
      <c r="M494">
        <v>17.899999999999999</v>
      </c>
      <c r="N494">
        <v>47.8</v>
      </c>
    </row>
    <row r="495" spans="1:14" x14ac:dyDescent="0.2">
      <c r="A495" t="s">
        <v>1198</v>
      </c>
      <c r="B495">
        <v>808982</v>
      </c>
      <c r="C495">
        <v>2026</v>
      </c>
      <c r="D495">
        <v>5</v>
      </c>
      <c r="E495">
        <v>9.6999999999999993</v>
      </c>
      <c r="F495">
        <v>4</v>
      </c>
      <c r="G495">
        <v>68.400000000000006</v>
      </c>
      <c r="H495">
        <v>87.1</v>
      </c>
      <c r="I495">
        <v>10.1</v>
      </c>
      <c r="J495">
        <v>36</v>
      </c>
      <c r="K495">
        <v>2.2999999999999998</v>
      </c>
      <c r="L495">
        <v>96.234197516999998</v>
      </c>
      <c r="M495">
        <v>13</v>
      </c>
      <c r="N495">
        <v>46.5</v>
      </c>
    </row>
    <row r="496" spans="1:14" x14ac:dyDescent="0.2">
      <c r="A496" t="s">
        <v>1199</v>
      </c>
      <c r="B496">
        <v>663330</v>
      </c>
      <c r="C496">
        <v>2026</v>
      </c>
      <c r="D496">
        <v>2</v>
      </c>
      <c r="E496">
        <v>33.299999999999997</v>
      </c>
      <c r="F496">
        <v>9.5</v>
      </c>
      <c r="G496">
        <v>73</v>
      </c>
      <c r="H496">
        <v>90.9</v>
      </c>
      <c r="I496">
        <v>14.4</v>
      </c>
      <c r="J496">
        <v>30</v>
      </c>
      <c r="K496">
        <v>8.3000000000000007</v>
      </c>
      <c r="L496">
        <v>101.69750633300001</v>
      </c>
      <c r="M496">
        <v>34.200000000000003</v>
      </c>
      <c r="N496">
        <v>49.2</v>
      </c>
    </row>
    <row r="497" spans="1:14" x14ac:dyDescent="0.2">
      <c r="A497" t="s">
        <v>1200</v>
      </c>
      <c r="B497">
        <v>547180</v>
      </c>
      <c r="C497">
        <v>2026</v>
      </c>
      <c r="D497">
        <v>20</v>
      </c>
      <c r="E497">
        <v>20.100000000000001</v>
      </c>
      <c r="F497">
        <v>14.7</v>
      </c>
      <c r="G497">
        <v>74.3</v>
      </c>
      <c r="H497">
        <v>90.1</v>
      </c>
      <c r="I497">
        <v>11.6</v>
      </c>
      <c r="J497">
        <v>35.700000000000003</v>
      </c>
      <c r="K497">
        <v>11.3</v>
      </c>
      <c r="L497">
        <v>101.768787143</v>
      </c>
      <c r="M497">
        <v>30.3</v>
      </c>
      <c r="N497">
        <v>51.2</v>
      </c>
    </row>
    <row r="498" spans="1:14" x14ac:dyDescent="0.2">
      <c r="A498" t="s">
        <v>1201</v>
      </c>
      <c r="B498">
        <v>571448</v>
      </c>
      <c r="C498">
        <v>2026</v>
      </c>
      <c r="D498">
        <v>12</v>
      </c>
      <c r="E498">
        <v>21.3</v>
      </c>
      <c r="F498">
        <v>8.4</v>
      </c>
      <c r="G498">
        <v>71.400000000000006</v>
      </c>
      <c r="H498">
        <v>85.2</v>
      </c>
      <c r="I498">
        <v>17.899999999999999</v>
      </c>
      <c r="J498">
        <v>35.700000000000003</v>
      </c>
      <c r="K498">
        <v>7.1</v>
      </c>
      <c r="L498">
        <v>97.074838318999994</v>
      </c>
      <c r="M498">
        <v>24.1</v>
      </c>
      <c r="N498">
        <v>46</v>
      </c>
    </row>
    <row r="499" spans="1:14" x14ac:dyDescent="0.2">
      <c r="A499" t="s">
        <v>1202</v>
      </c>
      <c r="B499">
        <v>691026</v>
      </c>
      <c r="C499">
        <v>2026</v>
      </c>
      <c r="D499">
        <v>4</v>
      </c>
      <c r="E499">
        <v>19.600000000000001</v>
      </c>
      <c r="F499">
        <v>8.1</v>
      </c>
      <c r="G499">
        <v>70.900000000000006</v>
      </c>
      <c r="H499">
        <v>88</v>
      </c>
      <c r="I499">
        <v>12.1</v>
      </c>
      <c r="J499">
        <v>32.9</v>
      </c>
      <c r="K499">
        <v>3.2</v>
      </c>
      <c r="L499">
        <v>98.645405839999995</v>
      </c>
      <c r="M499">
        <v>22.4</v>
      </c>
      <c r="N499">
        <v>43.4</v>
      </c>
    </row>
    <row r="500" spans="1:14" x14ac:dyDescent="0.2">
      <c r="A500" t="s">
        <v>1203</v>
      </c>
      <c r="B500">
        <v>678882</v>
      </c>
      <c r="C500">
        <v>2026</v>
      </c>
      <c r="D500">
        <v>8</v>
      </c>
      <c r="E500">
        <v>19.8</v>
      </c>
      <c r="F500">
        <v>4.9000000000000004</v>
      </c>
      <c r="G500">
        <v>69.900000000000006</v>
      </c>
      <c r="H500">
        <v>86</v>
      </c>
      <c r="I500">
        <v>10.6</v>
      </c>
      <c r="J500">
        <v>36.5</v>
      </c>
      <c r="K500">
        <v>4.9000000000000004</v>
      </c>
      <c r="L500">
        <v>96.895819247999995</v>
      </c>
      <c r="M500">
        <v>24.7</v>
      </c>
      <c r="N500">
        <v>54.5</v>
      </c>
    </row>
    <row r="501" spans="1:14" x14ac:dyDescent="0.2">
      <c r="A501" t="s">
        <v>1204</v>
      </c>
      <c r="B501">
        <v>608070</v>
      </c>
      <c r="C501">
        <v>2026</v>
      </c>
      <c r="D501">
        <v>10</v>
      </c>
      <c r="E501">
        <v>14</v>
      </c>
      <c r="F501">
        <v>13.1</v>
      </c>
      <c r="G501">
        <v>70.099999999999994</v>
      </c>
      <c r="H501">
        <v>90.3</v>
      </c>
      <c r="I501">
        <v>19.399999999999999</v>
      </c>
      <c r="J501">
        <v>36.6</v>
      </c>
      <c r="K501">
        <v>6.6</v>
      </c>
      <c r="L501">
        <v>100.58732114</v>
      </c>
      <c r="M501">
        <v>17.3</v>
      </c>
      <c r="N501">
        <v>46.7</v>
      </c>
    </row>
    <row r="502" spans="1:14" x14ac:dyDescent="0.2">
      <c r="A502" t="s">
        <v>1205</v>
      </c>
      <c r="B502">
        <v>687231</v>
      </c>
      <c r="C502">
        <v>2026</v>
      </c>
      <c r="D502">
        <v>1</v>
      </c>
      <c r="E502">
        <v>17.2</v>
      </c>
      <c r="F502">
        <v>9.6999999999999993</v>
      </c>
      <c r="G502">
        <v>69.099999999999994</v>
      </c>
      <c r="H502">
        <v>84.4</v>
      </c>
      <c r="I502">
        <v>14</v>
      </c>
      <c r="J502">
        <v>30.9</v>
      </c>
      <c r="K502">
        <v>1</v>
      </c>
      <c r="L502">
        <v>95.461126457999995</v>
      </c>
      <c r="M502">
        <v>22.8</v>
      </c>
      <c r="N502">
        <v>50.7</v>
      </c>
    </row>
    <row r="503" spans="1:14" x14ac:dyDescent="0.2">
      <c r="A503" t="s">
        <v>1206</v>
      </c>
      <c r="B503">
        <v>641680</v>
      </c>
      <c r="C503">
        <v>2026</v>
      </c>
      <c r="D503">
        <v>9</v>
      </c>
      <c r="E503">
        <v>19.399999999999999</v>
      </c>
      <c r="F503">
        <v>7.2</v>
      </c>
      <c r="G503">
        <v>70.2</v>
      </c>
      <c r="H503">
        <v>87.1</v>
      </c>
      <c r="I503">
        <v>11.6</v>
      </c>
      <c r="J503">
        <v>29.8</v>
      </c>
      <c r="K503">
        <v>6.9</v>
      </c>
      <c r="L503">
        <v>97.599544545000001</v>
      </c>
      <c r="M503">
        <v>23.6</v>
      </c>
      <c r="N503">
        <v>50.2</v>
      </c>
    </row>
    <row r="504" spans="1:14" x14ac:dyDescent="0.2">
      <c r="A504" t="s">
        <v>1207</v>
      </c>
      <c r="B504">
        <v>677800</v>
      </c>
      <c r="C504">
        <v>2026</v>
      </c>
      <c r="D504">
        <v>11</v>
      </c>
      <c r="E504">
        <v>20.5</v>
      </c>
      <c r="F504">
        <v>9.8000000000000007</v>
      </c>
      <c r="G504">
        <v>73.8</v>
      </c>
      <c r="H504">
        <v>90.1</v>
      </c>
      <c r="I504">
        <v>18.3</v>
      </c>
      <c r="J504">
        <v>35.4</v>
      </c>
      <c r="K504">
        <v>12.3</v>
      </c>
      <c r="L504">
        <v>100.571901087</v>
      </c>
      <c r="M504">
        <v>23.8</v>
      </c>
      <c r="N504">
        <v>49.3</v>
      </c>
    </row>
    <row r="505" spans="1:14" x14ac:dyDescent="0.2">
      <c r="A505" t="s">
        <v>1208</v>
      </c>
      <c r="B505">
        <v>672820</v>
      </c>
      <c r="C505">
        <v>2026</v>
      </c>
      <c r="D505">
        <v>1</v>
      </c>
      <c r="E505">
        <v>21.4</v>
      </c>
      <c r="F505">
        <v>0.9</v>
      </c>
      <c r="G505">
        <v>72.400000000000006</v>
      </c>
      <c r="H505">
        <v>88.7</v>
      </c>
      <c r="I505">
        <v>20</v>
      </c>
      <c r="J505">
        <v>34.4</v>
      </c>
      <c r="K505">
        <v>5.6</v>
      </c>
      <c r="L505">
        <v>98.841731999999993</v>
      </c>
      <c r="M505">
        <v>21.5</v>
      </c>
      <c r="N505">
        <v>56</v>
      </c>
    </row>
    <row r="506" spans="1:14" x14ac:dyDescent="0.2">
      <c r="A506" t="s">
        <v>1209</v>
      </c>
      <c r="B506">
        <v>694371</v>
      </c>
      <c r="C506">
        <v>2026</v>
      </c>
      <c r="D506">
        <v>4</v>
      </c>
      <c r="E506">
        <v>23.1</v>
      </c>
      <c r="F506">
        <v>9.6999999999999993</v>
      </c>
      <c r="G506">
        <v>72.099999999999994</v>
      </c>
      <c r="H506">
        <v>84.8</v>
      </c>
      <c r="I506">
        <v>10.7</v>
      </c>
      <c r="J506">
        <v>32.200000000000003</v>
      </c>
      <c r="K506">
        <v>10</v>
      </c>
      <c r="L506">
        <v>98.394866363999995</v>
      </c>
      <c r="M506">
        <v>24.9</v>
      </c>
      <c r="N506">
        <v>44.8</v>
      </c>
    </row>
    <row r="507" spans="1:14" x14ac:dyDescent="0.2">
      <c r="A507" t="s">
        <v>1210</v>
      </c>
      <c r="B507">
        <v>691723</v>
      </c>
      <c r="C507">
        <v>2026</v>
      </c>
      <c r="D507">
        <v>12</v>
      </c>
      <c r="E507">
        <v>32.5</v>
      </c>
      <c r="F507">
        <v>7.7</v>
      </c>
      <c r="G507">
        <v>75.599999999999994</v>
      </c>
      <c r="H507">
        <v>92.3</v>
      </c>
      <c r="I507">
        <v>19.399999999999999</v>
      </c>
      <c r="J507">
        <v>27.1</v>
      </c>
      <c r="K507">
        <v>11.1</v>
      </c>
      <c r="L507">
        <v>104.588224583</v>
      </c>
      <c r="M507">
        <v>30.7</v>
      </c>
      <c r="N507">
        <v>46.3</v>
      </c>
    </row>
    <row r="508" spans="1:14" x14ac:dyDescent="0.2">
      <c r="A508" t="s">
        <v>1211</v>
      </c>
      <c r="B508">
        <v>668885</v>
      </c>
      <c r="C508">
        <v>2026</v>
      </c>
      <c r="D508">
        <v>2</v>
      </c>
      <c r="E508">
        <v>18</v>
      </c>
      <c r="F508">
        <v>13.2</v>
      </c>
      <c r="G508">
        <v>69.099999999999994</v>
      </c>
      <c r="H508">
        <v>87</v>
      </c>
      <c r="I508">
        <v>11.6</v>
      </c>
      <c r="J508">
        <v>32.4</v>
      </c>
      <c r="K508">
        <v>2.2000000000000002</v>
      </c>
      <c r="L508">
        <v>96.355250667000007</v>
      </c>
      <c r="M508">
        <v>20.5</v>
      </c>
      <c r="N508">
        <v>39.299999999999997</v>
      </c>
    </row>
    <row r="509" spans="1:14" x14ac:dyDescent="0.2">
      <c r="A509" t="s">
        <v>1212</v>
      </c>
      <c r="B509">
        <v>661388</v>
      </c>
      <c r="C509">
        <v>2026</v>
      </c>
      <c r="D509">
        <v>9</v>
      </c>
      <c r="E509">
        <v>13.5</v>
      </c>
      <c r="F509">
        <v>8.3000000000000007</v>
      </c>
      <c r="G509">
        <v>73.2</v>
      </c>
      <c r="H509">
        <v>90.1</v>
      </c>
      <c r="I509">
        <v>11.8</v>
      </c>
      <c r="J509">
        <v>31.3</v>
      </c>
      <c r="K509">
        <v>7.1</v>
      </c>
      <c r="L509">
        <v>101.046192215</v>
      </c>
      <c r="M509">
        <v>19.100000000000001</v>
      </c>
      <c r="N509">
        <v>47.1</v>
      </c>
    </row>
    <row r="510" spans="1:14" x14ac:dyDescent="0.2">
      <c r="A510" t="s">
        <v>1213</v>
      </c>
      <c r="B510">
        <v>664983</v>
      </c>
      <c r="C510">
        <v>2026</v>
      </c>
      <c r="D510">
        <v>10</v>
      </c>
      <c r="E510">
        <v>17.600000000000001</v>
      </c>
      <c r="F510">
        <v>5.9</v>
      </c>
      <c r="G510">
        <v>71.099999999999994</v>
      </c>
      <c r="H510">
        <v>85</v>
      </c>
      <c r="I510">
        <v>12.3</v>
      </c>
      <c r="J510">
        <v>37.5</v>
      </c>
      <c r="K510">
        <v>6.1</v>
      </c>
      <c r="L510">
        <v>96.568425555999994</v>
      </c>
      <c r="M510">
        <v>22.5</v>
      </c>
      <c r="N510">
        <v>55.1</v>
      </c>
    </row>
    <row r="511" spans="1:14" x14ac:dyDescent="0.2">
      <c r="A511" t="s">
        <v>1214</v>
      </c>
      <c r="B511">
        <v>686780</v>
      </c>
      <c r="C511">
        <v>2026</v>
      </c>
      <c r="D511">
        <v>4</v>
      </c>
      <c r="E511">
        <v>25.6</v>
      </c>
      <c r="F511">
        <v>3.8</v>
      </c>
      <c r="G511">
        <v>72.400000000000006</v>
      </c>
      <c r="H511">
        <v>87.1</v>
      </c>
      <c r="I511">
        <v>14.3</v>
      </c>
      <c r="J511">
        <v>31.5</v>
      </c>
      <c r="K511">
        <v>5.5</v>
      </c>
      <c r="L511">
        <v>99.732577925000001</v>
      </c>
      <c r="M511">
        <v>28.1</v>
      </c>
      <c r="N511">
        <v>51.1</v>
      </c>
    </row>
    <row r="512" spans="1:14" x14ac:dyDescent="0.2">
      <c r="A512" t="s">
        <v>1215</v>
      </c>
      <c r="B512">
        <v>808975</v>
      </c>
      <c r="C512">
        <v>2026</v>
      </c>
      <c r="D512">
        <v>1</v>
      </c>
      <c r="E512">
        <v>23.7</v>
      </c>
      <c r="F512">
        <v>9.1999999999999993</v>
      </c>
      <c r="G512">
        <v>66.7</v>
      </c>
      <c r="H512">
        <v>85.8</v>
      </c>
      <c r="I512">
        <v>9.1</v>
      </c>
      <c r="J512">
        <v>42.5</v>
      </c>
      <c r="K512">
        <v>3.4</v>
      </c>
      <c r="L512">
        <v>95.588878636000004</v>
      </c>
      <c r="M512">
        <v>27</v>
      </c>
      <c r="N512">
        <v>47.4</v>
      </c>
    </row>
    <row r="513" spans="1:14" x14ac:dyDescent="0.2">
      <c r="A513" t="s">
        <v>1216</v>
      </c>
      <c r="B513">
        <v>467793</v>
      </c>
      <c r="C513">
        <v>2026</v>
      </c>
      <c r="D513">
        <v>0</v>
      </c>
      <c r="E513">
        <v>30.8</v>
      </c>
      <c r="F513">
        <v>7.7</v>
      </c>
      <c r="G513">
        <v>71.599999999999994</v>
      </c>
      <c r="H513">
        <v>87.8</v>
      </c>
      <c r="I513">
        <v>29.5</v>
      </c>
      <c r="J513">
        <v>25</v>
      </c>
      <c r="K513">
        <v>0</v>
      </c>
      <c r="L513">
        <v>98.439348749999994</v>
      </c>
      <c r="M513">
        <v>29.6</v>
      </c>
      <c r="N513">
        <v>50.9</v>
      </c>
    </row>
    <row r="514" spans="1:14" x14ac:dyDescent="0.2">
      <c r="A514" t="s">
        <v>1217</v>
      </c>
      <c r="B514">
        <v>805779</v>
      </c>
      <c r="C514">
        <v>2026</v>
      </c>
      <c r="D514">
        <v>4</v>
      </c>
      <c r="E514">
        <v>11.4</v>
      </c>
      <c r="F514">
        <v>4.5999999999999996</v>
      </c>
      <c r="G514">
        <v>64.099999999999994</v>
      </c>
      <c r="H514">
        <v>84.2</v>
      </c>
      <c r="I514">
        <v>8.1</v>
      </c>
      <c r="J514">
        <v>33.200000000000003</v>
      </c>
      <c r="K514">
        <v>1.5</v>
      </c>
      <c r="L514">
        <v>95.874453673000005</v>
      </c>
      <c r="M514">
        <v>14.9</v>
      </c>
      <c r="N514">
        <v>55.7</v>
      </c>
    </row>
    <row r="515" spans="1:14" x14ac:dyDescent="0.2">
      <c r="A515" t="s">
        <v>1218</v>
      </c>
      <c r="B515">
        <v>691785</v>
      </c>
      <c r="C515">
        <v>2026</v>
      </c>
      <c r="D515">
        <v>3</v>
      </c>
      <c r="E515">
        <v>19.3</v>
      </c>
      <c r="F515">
        <v>7</v>
      </c>
      <c r="G515">
        <v>74.599999999999994</v>
      </c>
      <c r="H515">
        <v>86.1</v>
      </c>
      <c r="I515">
        <v>8.8000000000000007</v>
      </c>
      <c r="J515">
        <v>25.6</v>
      </c>
      <c r="K515">
        <v>6.1</v>
      </c>
      <c r="L515">
        <v>98.190519258999998</v>
      </c>
      <c r="M515">
        <v>26.5</v>
      </c>
      <c r="N515">
        <v>50.1</v>
      </c>
    </row>
    <row r="516" spans="1:14" x14ac:dyDescent="0.2">
      <c r="A516" t="s">
        <v>1219</v>
      </c>
      <c r="B516">
        <v>702616</v>
      </c>
      <c r="C516">
        <v>2026</v>
      </c>
      <c r="D516">
        <v>5</v>
      </c>
      <c r="E516">
        <v>26.1</v>
      </c>
      <c r="F516">
        <v>14.8</v>
      </c>
      <c r="G516">
        <v>70.5</v>
      </c>
      <c r="H516">
        <v>87.3</v>
      </c>
      <c r="I516">
        <v>12.7</v>
      </c>
      <c r="J516">
        <v>41.7</v>
      </c>
      <c r="K516">
        <v>10.7</v>
      </c>
      <c r="L516">
        <v>98.025166428999995</v>
      </c>
      <c r="M516">
        <v>32.4</v>
      </c>
      <c r="N516">
        <v>42.7</v>
      </c>
    </row>
    <row r="517" spans="1:14" x14ac:dyDescent="0.2">
      <c r="A517" t="s">
        <v>1220</v>
      </c>
      <c r="B517">
        <v>682848</v>
      </c>
      <c r="C517">
        <v>2026</v>
      </c>
      <c r="D517">
        <v>5</v>
      </c>
      <c r="E517">
        <v>23.8</v>
      </c>
      <c r="F517">
        <v>17.2</v>
      </c>
      <c r="G517">
        <v>72.5</v>
      </c>
      <c r="H517">
        <v>92.4</v>
      </c>
      <c r="I517">
        <v>19.899999999999999</v>
      </c>
      <c r="J517">
        <v>38</v>
      </c>
      <c r="K517">
        <v>12.7</v>
      </c>
      <c r="L517">
        <v>101.05905799999999</v>
      </c>
      <c r="M517">
        <v>25.9</v>
      </c>
      <c r="N517">
        <v>43.3</v>
      </c>
    </row>
    <row r="518" spans="1:14" x14ac:dyDescent="0.2">
      <c r="A518" t="s">
        <v>1221</v>
      </c>
      <c r="B518">
        <v>683766</v>
      </c>
      <c r="C518">
        <v>2026</v>
      </c>
      <c r="D518">
        <v>0</v>
      </c>
      <c r="E518">
        <v>10</v>
      </c>
      <c r="F518">
        <v>0</v>
      </c>
      <c r="G518">
        <v>71.2</v>
      </c>
      <c r="H518">
        <v>84.8</v>
      </c>
      <c r="I518">
        <v>15.8</v>
      </c>
      <c r="J518">
        <v>5.9</v>
      </c>
      <c r="K518">
        <v>0</v>
      </c>
      <c r="L518">
        <v>93.270218889000006</v>
      </c>
      <c r="M518">
        <v>23.5</v>
      </c>
      <c r="N518">
        <v>59.6</v>
      </c>
    </row>
    <row r="519" spans="1:14" x14ac:dyDescent="0.2">
      <c r="A519" t="s">
        <v>1222</v>
      </c>
      <c r="B519">
        <v>686554</v>
      </c>
      <c r="C519">
        <v>2026</v>
      </c>
      <c r="D519">
        <v>0</v>
      </c>
      <c r="E519">
        <v>25</v>
      </c>
      <c r="F519">
        <v>8.3000000000000007</v>
      </c>
      <c r="G519">
        <v>74.099999999999994</v>
      </c>
      <c r="H519">
        <v>82.6</v>
      </c>
      <c r="I519">
        <v>-6.1</v>
      </c>
      <c r="J519">
        <v>0</v>
      </c>
      <c r="K519">
        <v>0</v>
      </c>
      <c r="L519">
        <v>94.238342500000002</v>
      </c>
      <c r="M519">
        <v>30</v>
      </c>
      <c r="N519">
        <v>47.6</v>
      </c>
    </row>
    <row r="520" spans="1:14" x14ac:dyDescent="0.2">
      <c r="A520" t="s">
        <v>1223</v>
      </c>
      <c r="B520">
        <v>672016</v>
      </c>
      <c r="C520">
        <v>2026</v>
      </c>
      <c r="D520">
        <v>0</v>
      </c>
      <c r="E520">
        <v>40</v>
      </c>
      <c r="F520">
        <v>6.7</v>
      </c>
      <c r="G520">
        <v>77.2</v>
      </c>
      <c r="H520">
        <v>91.9</v>
      </c>
      <c r="I520">
        <v>2.6</v>
      </c>
      <c r="J520">
        <v>15.6</v>
      </c>
      <c r="K520">
        <v>3.2</v>
      </c>
      <c r="L520">
        <v>103.213863571</v>
      </c>
      <c r="M520">
        <v>35.799999999999997</v>
      </c>
      <c r="N520">
        <v>45</v>
      </c>
    </row>
    <row r="521" spans="1:14" x14ac:dyDescent="0.2">
      <c r="A521" t="s">
        <v>1224</v>
      </c>
      <c r="B521">
        <v>686611</v>
      </c>
      <c r="C521">
        <v>2026</v>
      </c>
      <c r="D521">
        <v>6</v>
      </c>
      <c r="E521">
        <v>21.7</v>
      </c>
      <c r="F521">
        <v>5.3</v>
      </c>
      <c r="G521">
        <v>73.599999999999994</v>
      </c>
      <c r="H521">
        <v>90.5</v>
      </c>
      <c r="I521">
        <v>10.9</v>
      </c>
      <c r="J521">
        <v>31.3</v>
      </c>
      <c r="K521">
        <v>8.3000000000000007</v>
      </c>
      <c r="L521">
        <v>101.703</v>
      </c>
      <c r="M521">
        <v>29.3</v>
      </c>
      <c r="N521">
        <v>53.2</v>
      </c>
    </row>
    <row r="522" spans="1:14" x14ac:dyDescent="0.2">
      <c r="A522" t="s">
        <v>1225</v>
      </c>
      <c r="B522">
        <v>677588</v>
      </c>
      <c r="C522">
        <v>2026</v>
      </c>
      <c r="D522">
        <v>5</v>
      </c>
      <c r="E522">
        <v>30.1</v>
      </c>
      <c r="F522">
        <v>7.5</v>
      </c>
      <c r="G522">
        <v>74</v>
      </c>
      <c r="H522">
        <v>91.9</v>
      </c>
      <c r="I522">
        <v>10.3</v>
      </c>
      <c r="J522">
        <v>33.299999999999997</v>
      </c>
      <c r="K522">
        <v>8.8000000000000007</v>
      </c>
      <c r="L522">
        <v>103.694849123</v>
      </c>
      <c r="M522">
        <v>35.200000000000003</v>
      </c>
      <c r="N522">
        <v>48.9</v>
      </c>
    </row>
    <row r="523" spans="1:14" x14ac:dyDescent="0.2">
      <c r="A523" t="s">
        <v>1226</v>
      </c>
      <c r="B523">
        <v>672761</v>
      </c>
      <c r="C523">
        <v>2026</v>
      </c>
      <c r="D523">
        <v>7</v>
      </c>
      <c r="E523">
        <v>16.600000000000001</v>
      </c>
      <c r="F523">
        <v>8</v>
      </c>
      <c r="G523">
        <v>71.400000000000006</v>
      </c>
      <c r="H523">
        <v>87.2</v>
      </c>
      <c r="I523">
        <v>17</v>
      </c>
      <c r="J523">
        <v>23.5</v>
      </c>
      <c r="K523">
        <v>7.6</v>
      </c>
      <c r="L523">
        <v>97.732311667000005</v>
      </c>
      <c r="M523">
        <v>18.2</v>
      </c>
      <c r="N523">
        <v>47.9</v>
      </c>
    </row>
    <row r="524" spans="1:14" x14ac:dyDescent="0.2">
      <c r="A524" t="s">
        <v>1227</v>
      </c>
      <c r="B524">
        <v>668723</v>
      </c>
      <c r="C524">
        <v>2026</v>
      </c>
      <c r="D524">
        <v>7</v>
      </c>
      <c r="E524">
        <v>20.5</v>
      </c>
      <c r="F524">
        <v>8.3000000000000007</v>
      </c>
      <c r="G524">
        <v>76.099999999999994</v>
      </c>
      <c r="H524">
        <v>89</v>
      </c>
      <c r="I524">
        <v>18.8</v>
      </c>
      <c r="J524">
        <v>32.700000000000003</v>
      </c>
      <c r="K524">
        <v>6.4</v>
      </c>
      <c r="L524">
        <v>100.819321481</v>
      </c>
      <c r="M524">
        <v>21.2</v>
      </c>
      <c r="N524">
        <v>49.1</v>
      </c>
    </row>
    <row r="525" spans="1:14" x14ac:dyDescent="0.2">
      <c r="A525" t="s">
        <v>1228</v>
      </c>
      <c r="B525">
        <v>683011</v>
      </c>
      <c r="C525">
        <v>2026</v>
      </c>
      <c r="D525">
        <v>1</v>
      </c>
      <c r="E525">
        <v>22.8</v>
      </c>
      <c r="F525">
        <v>12.7</v>
      </c>
      <c r="G525">
        <v>71.599999999999994</v>
      </c>
      <c r="H525">
        <v>87.8</v>
      </c>
      <c r="I525">
        <v>11.3</v>
      </c>
      <c r="J525">
        <v>30.4</v>
      </c>
      <c r="K525">
        <v>4</v>
      </c>
      <c r="L525">
        <v>98.250645800000001</v>
      </c>
      <c r="M525">
        <v>25.6</v>
      </c>
      <c r="N525">
        <v>44.6</v>
      </c>
    </row>
    <row r="526" spans="1:14" x14ac:dyDescent="0.2">
      <c r="A526" t="s">
        <v>1229</v>
      </c>
      <c r="B526">
        <v>701762</v>
      </c>
      <c r="C526">
        <v>2026</v>
      </c>
      <c r="D526">
        <v>20</v>
      </c>
      <c r="E526">
        <v>31.6</v>
      </c>
      <c r="F526">
        <v>18.399999999999999</v>
      </c>
      <c r="G526">
        <v>78.3</v>
      </c>
      <c r="H526">
        <v>93.6</v>
      </c>
      <c r="I526">
        <v>12.4</v>
      </c>
      <c r="J526">
        <v>38.700000000000003</v>
      </c>
      <c r="K526">
        <v>18.100000000000001</v>
      </c>
      <c r="L526">
        <v>106.324619216</v>
      </c>
      <c r="M526">
        <v>36.799999999999997</v>
      </c>
      <c r="N526">
        <v>42.8</v>
      </c>
    </row>
    <row r="527" spans="1:14" x14ac:dyDescent="0.2">
      <c r="A527" t="s">
        <v>1230</v>
      </c>
      <c r="B527">
        <v>681508</v>
      </c>
      <c r="C527">
        <v>2026</v>
      </c>
      <c r="D527">
        <v>0</v>
      </c>
      <c r="E527">
        <v>17.600000000000001</v>
      </c>
      <c r="F527">
        <v>7.6</v>
      </c>
      <c r="G527">
        <v>72</v>
      </c>
      <c r="H527">
        <v>88.3</v>
      </c>
      <c r="I527">
        <v>16.399999999999999</v>
      </c>
      <c r="J527">
        <v>27.3</v>
      </c>
      <c r="K527">
        <v>4.5</v>
      </c>
      <c r="L527">
        <v>98.388934090999996</v>
      </c>
      <c r="M527">
        <v>18.5</v>
      </c>
      <c r="N527">
        <v>41.5</v>
      </c>
    </row>
    <row r="528" spans="1:14" x14ac:dyDescent="0.2">
      <c r="A528" t="s">
        <v>1231</v>
      </c>
      <c r="B528">
        <v>676914</v>
      </c>
      <c r="C528">
        <v>2026</v>
      </c>
      <c r="D528">
        <v>3</v>
      </c>
      <c r="E528">
        <v>33.1</v>
      </c>
      <c r="F528">
        <v>15.3</v>
      </c>
      <c r="G528">
        <v>71.2</v>
      </c>
      <c r="H528">
        <v>89</v>
      </c>
      <c r="I528">
        <v>30.5</v>
      </c>
      <c r="J528">
        <v>24.6</v>
      </c>
      <c r="K528">
        <v>11.7</v>
      </c>
      <c r="L528">
        <v>100.726250333</v>
      </c>
      <c r="M528">
        <v>31.7</v>
      </c>
      <c r="N528">
        <v>39</v>
      </c>
    </row>
    <row r="529" spans="1:14" x14ac:dyDescent="0.2">
      <c r="A529" t="s">
        <v>1232</v>
      </c>
      <c r="B529">
        <v>803011</v>
      </c>
      <c r="C529">
        <v>2026</v>
      </c>
      <c r="D529">
        <v>6</v>
      </c>
      <c r="E529">
        <v>15.1</v>
      </c>
      <c r="F529">
        <v>7.2</v>
      </c>
      <c r="G529">
        <v>70.2</v>
      </c>
      <c r="H529">
        <v>87.5</v>
      </c>
      <c r="I529">
        <v>11.7</v>
      </c>
      <c r="J529">
        <v>40.4</v>
      </c>
      <c r="K529">
        <v>6.9</v>
      </c>
      <c r="L529">
        <v>98.318388597999999</v>
      </c>
      <c r="M529">
        <v>15.6</v>
      </c>
      <c r="N529">
        <v>41.8</v>
      </c>
    </row>
    <row r="530" spans="1:14" x14ac:dyDescent="0.2">
      <c r="A530" t="s">
        <v>1233</v>
      </c>
      <c r="B530">
        <v>682622</v>
      </c>
      <c r="C530">
        <v>2026</v>
      </c>
      <c r="D530">
        <v>6</v>
      </c>
      <c r="E530">
        <v>25.5</v>
      </c>
      <c r="F530">
        <v>6.6</v>
      </c>
      <c r="G530">
        <v>72.599999999999994</v>
      </c>
      <c r="H530">
        <v>88.1</v>
      </c>
      <c r="I530">
        <v>9.1</v>
      </c>
      <c r="J530">
        <v>19.399999999999999</v>
      </c>
      <c r="K530">
        <v>6.7</v>
      </c>
      <c r="L530">
        <v>99.710800000000006</v>
      </c>
      <c r="M530">
        <v>25.9</v>
      </c>
      <c r="N530">
        <v>49.6</v>
      </c>
    </row>
    <row r="531" spans="1:14" x14ac:dyDescent="0.2">
      <c r="A531" t="s">
        <v>1234</v>
      </c>
      <c r="B531">
        <v>695734</v>
      </c>
      <c r="C531">
        <v>2026</v>
      </c>
      <c r="D531">
        <v>10</v>
      </c>
      <c r="E531">
        <v>17.600000000000001</v>
      </c>
      <c r="F531">
        <v>6</v>
      </c>
      <c r="G531">
        <v>70.8</v>
      </c>
      <c r="H531">
        <v>88</v>
      </c>
      <c r="I531">
        <v>17.600000000000001</v>
      </c>
      <c r="J531">
        <v>36.6</v>
      </c>
      <c r="K531">
        <v>7.6</v>
      </c>
      <c r="L531">
        <v>98.402053245000005</v>
      </c>
      <c r="M531">
        <v>22</v>
      </c>
      <c r="N531">
        <v>55.4</v>
      </c>
    </row>
    <row r="532" spans="1:14" x14ac:dyDescent="0.2">
      <c r="A532" t="s">
        <v>1235</v>
      </c>
      <c r="B532">
        <v>669257</v>
      </c>
      <c r="C532">
        <v>2026</v>
      </c>
      <c r="D532">
        <v>6</v>
      </c>
      <c r="E532">
        <v>16.899999999999999</v>
      </c>
      <c r="F532">
        <v>11.4</v>
      </c>
      <c r="G532">
        <v>70.099999999999994</v>
      </c>
      <c r="H532">
        <v>90</v>
      </c>
      <c r="I532">
        <v>19.899999999999999</v>
      </c>
      <c r="J532">
        <v>43</v>
      </c>
      <c r="K532">
        <v>13.4</v>
      </c>
      <c r="L532">
        <v>99.93862</v>
      </c>
      <c r="M532">
        <v>16.399999999999999</v>
      </c>
      <c r="N532">
        <v>41.3</v>
      </c>
    </row>
    <row r="533" spans="1:14" x14ac:dyDescent="0.2">
      <c r="A533" t="s">
        <v>1236</v>
      </c>
      <c r="B533">
        <v>624413</v>
      </c>
      <c r="C533">
        <v>2026</v>
      </c>
      <c r="D533">
        <v>21</v>
      </c>
      <c r="E533">
        <v>24.8</v>
      </c>
      <c r="F533">
        <v>11.9</v>
      </c>
      <c r="G533">
        <v>74.8</v>
      </c>
      <c r="H533">
        <v>93.8</v>
      </c>
      <c r="I533">
        <v>14.4</v>
      </c>
      <c r="J533">
        <v>34.1</v>
      </c>
      <c r="K533">
        <v>12.6</v>
      </c>
      <c r="L533">
        <v>103.436332769</v>
      </c>
      <c r="M533">
        <v>27.9</v>
      </c>
      <c r="N533">
        <v>43.9</v>
      </c>
    </row>
    <row r="534" spans="1:14" x14ac:dyDescent="0.2">
      <c r="A534" t="s">
        <v>1237</v>
      </c>
      <c r="B534">
        <v>682177</v>
      </c>
      <c r="C534">
        <v>2026</v>
      </c>
      <c r="D534">
        <v>6</v>
      </c>
      <c r="E534">
        <v>29.1</v>
      </c>
      <c r="F534">
        <v>8.4</v>
      </c>
      <c r="G534">
        <v>71.2</v>
      </c>
      <c r="H534">
        <v>88</v>
      </c>
      <c r="I534">
        <v>12.2</v>
      </c>
      <c r="J534">
        <v>33.1</v>
      </c>
      <c r="K534">
        <v>8</v>
      </c>
      <c r="L534">
        <v>98.637914756000001</v>
      </c>
      <c r="M534">
        <v>31.7</v>
      </c>
      <c r="N534">
        <v>49.8</v>
      </c>
    </row>
    <row r="535" spans="1:14" x14ac:dyDescent="0.2">
      <c r="A535" t="s">
        <v>1238</v>
      </c>
      <c r="B535">
        <v>660162</v>
      </c>
      <c r="C535">
        <v>2026</v>
      </c>
      <c r="D535">
        <v>3</v>
      </c>
      <c r="E535">
        <v>34.6</v>
      </c>
      <c r="F535">
        <v>13.1</v>
      </c>
      <c r="G535">
        <v>72.400000000000006</v>
      </c>
      <c r="H535">
        <v>90.3</v>
      </c>
      <c r="I535">
        <v>15.8</v>
      </c>
      <c r="J535">
        <v>33.299999999999997</v>
      </c>
      <c r="K535">
        <v>7.7</v>
      </c>
      <c r="L535">
        <v>100.980665625</v>
      </c>
      <c r="M535">
        <v>28.8</v>
      </c>
      <c r="N535">
        <v>38.9</v>
      </c>
    </row>
    <row r="536" spans="1:14" x14ac:dyDescent="0.2">
      <c r="A536" t="s">
        <v>1239</v>
      </c>
      <c r="B536">
        <v>681481</v>
      </c>
      <c r="C536">
        <v>2026</v>
      </c>
      <c r="D536">
        <v>13</v>
      </c>
      <c r="E536">
        <v>31.2</v>
      </c>
      <c r="F536">
        <v>7.8</v>
      </c>
      <c r="G536">
        <v>71.8</v>
      </c>
      <c r="H536">
        <v>90.6</v>
      </c>
      <c r="I536">
        <v>22.1</v>
      </c>
      <c r="J536">
        <v>37.299999999999997</v>
      </c>
      <c r="K536">
        <v>11.4</v>
      </c>
      <c r="L536">
        <v>99.612121514999998</v>
      </c>
      <c r="M536">
        <v>30.5</v>
      </c>
      <c r="N536">
        <v>49.6</v>
      </c>
    </row>
    <row r="537" spans="1:14" x14ac:dyDescent="0.2">
      <c r="A537" t="s">
        <v>1240</v>
      </c>
      <c r="B537">
        <v>676724</v>
      </c>
      <c r="C537">
        <v>2026</v>
      </c>
      <c r="D537">
        <v>6</v>
      </c>
      <c r="E537">
        <v>20.399999999999999</v>
      </c>
      <c r="F537">
        <v>7</v>
      </c>
      <c r="G537">
        <v>73.2</v>
      </c>
      <c r="H537">
        <v>89.9</v>
      </c>
      <c r="I537">
        <v>11.1</v>
      </c>
      <c r="J537">
        <v>29.1</v>
      </c>
      <c r="K537">
        <v>10.9</v>
      </c>
      <c r="L537">
        <v>101.538074545</v>
      </c>
      <c r="M537">
        <v>24.8</v>
      </c>
      <c r="N537">
        <v>47</v>
      </c>
    </row>
    <row r="538" spans="1:14" x14ac:dyDescent="0.2">
      <c r="A538" t="s">
        <v>1241</v>
      </c>
      <c r="B538">
        <v>666464</v>
      </c>
      <c r="C538">
        <v>2026</v>
      </c>
      <c r="D538">
        <v>0</v>
      </c>
      <c r="E538">
        <v>22.9</v>
      </c>
      <c r="F538">
        <v>2.9</v>
      </c>
      <c r="G538">
        <v>74.7</v>
      </c>
      <c r="H538">
        <v>87.5</v>
      </c>
      <c r="I538">
        <v>5.4</v>
      </c>
      <c r="J538">
        <v>38.5</v>
      </c>
      <c r="K538">
        <v>7.7</v>
      </c>
      <c r="L538">
        <v>99.269829999999999</v>
      </c>
      <c r="M538">
        <v>19.3</v>
      </c>
      <c r="N538">
        <v>52.2</v>
      </c>
    </row>
    <row r="539" spans="1:14" x14ac:dyDescent="0.2">
      <c r="A539" t="s">
        <v>1242</v>
      </c>
      <c r="B539">
        <v>671083</v>
      </c>
      <c r="C539">
        <v>2026</v>
      </c>
      <c r="D539">
        <v>0</v>
      </c>
      <c r="E539">
        <v>31.3</v>
      </c>
      <c r="F539">
        <v>12.5</v>
      </c>
      <c r="G539">
        <v>72.2</v>
      </c>
      <c r="H539">
        <v>80.099999999999994</v>
      </c>
      <c r="I539">
        <v>20.8</v>
      </c>
      <c r="J539">
        <v>22.2</v>
      </c>
      <c r="K539">
        <v>0</v>
      </c>
      <c r="L539">
        <v>94.801187999999996</v>
      </c>
      <c r="M539">
        <v>22.2</v>
      </c>
      <c r="N539">
        <v>46.2</v>
      </c>
    </row>
    <row r="540" spans="1:14" x14ac:dyDescent="0.2">
      <c r="A540" t="s">
        <v>1243</v>
      </c>
      <c r="B540">
        <v>696030</v>
      </c>
      <c r="C540">
        <v>2026</v>
      </c>
      <c r="D540">
        <v>1</v>
      </c>
      <c r="E540">
        <v>13.7</v>
      </c>
      <c r="F540">
        <v>8.9</v>
      </c>
      <c r="G540">
        <v>71.599999999999994</v>
      </c>
      <c r="H540">
        <v>87.2</v>
      </c>
      <c r="I540">
        <v>5.6</v>
      </c>
      <c r="J540">
        <v>31.7</v>
      </c>
      <c r="K540">
        <v>0.7</v>
      </c>
      <c r="L540">
        <v>97.857647909999997</v>
      </c>
      <c r="M540">
        <v>15.7</v>
      </c>
      <c r="N540">
        <v>47.4</v>
      </c>
    </row>
    <row r="541" spans="1:14" x14ac:dyDescent="0.2">
      <c r="A541" t="s">
        <v>1244</v>
      </c>
      <c r="B541">
        <v>702332</v>
      </c>
      <c r="C541">
        <v>2026</v>
      </c>
      <c r="D541">
        <v>9</v>
      </c>
      <c r="E541">
        <v>13.9</v>
      </c>
      <c r="F541">
        <v>6.9</v>
      </c>
      <c r="G541">
        <v>69.099999999999994</v>
      </c>
      <c r="H541">
        <v>84.9</v>
      </c>
      <c r="I541">
        <v>10.9</v>
      </c>
      <c r="J541">
        <v>28.5</v>
      </c>
      <c r="K541">
        <v>2.9</v>
      </c>
      <c r="L541">
        <v>96.477770582999995</v>
      </c>
      <c r="M541">
        <v>15.2</v>
      </c>
      <c r="N541">
        <v>46.7</v>
      </c>
    </row>
    <row r="542" spans="1:14" x14ac:dyDescent="0.2">
      <c r="A542" t="s">
        <v>1245</v>
      </c>
      <c r="B542">
        <v>641343</v>
      </c>
      <c r="C542">
        <v>2026</v>
      </c>
      <c r="D542">
        <v>18</v>
      </c>
      <c r="E542">
        <v>25.7</v>
      </c>
      <c r="F542">
        <v>13.6</v>
      </c>
      <c r="G542">
        <v>76.8</v>
      </c>
      <c r="H542">
        <v>92.5</v>
      </c>
      <c r="I542">
        <v>11.1</v>
      </c>
      <c r="J542">
        <v>36.700000000000003</v>
      </c>
      <c r="K542">
        <v>14.1</v>
      </c>
      <c r="L542">
        <v>103.564037961</v>
      </c>
      <c r="M542">
        <v>26.8</v>
      </c>
      <c r="N542">
        <v>41.1</v>
      </c>
    </row>
    <row r="543" spans="1:14" x14ac:dyDescent="0.2">
      <c r="A543" t="s">
        <v>1246</v>
      </c>
      <c r="B543">
        <v>665833</v>
      </c>
      <c r="C543">
        <v>2026</v>
      </c>
      <c r="D543">
        <v>14</v>
      </c>
      <c r="E543">
        <v>34.6</v>
      </c>
      <c r="F543">
        <v>10.6</v>
      </c>
      <c r="G543">
        <v>78.5</v>
      </c>
      <c r="H543">
        <v>96</v>
      </c>
      <c r="I543">
        <v>7.6</v>
      </c>
      <c r="J543">
        <v>34.9</v>
      </c>
      <c r="K543">
        <v>16.7</v>
      </c>
      <c r="L543">
        <v>107.07973093299999</v>
      </c>
      <c r="M543">
        <v>37.799999999999997</v>
      </c>
      <c r="N543">
        <v>43.6</v>
      </c>
    </row>
    <row r="544" spans="1:14" x14ac:dyDescent="0.2">
      <c r="A544" t="s">
        <v>1247</v>
      </c>
      <c r="B544">
        <v>656555</v>
      </c>
      <c r="C544">
        <v>2026</v>
      </c>
      <c r="D544">
        <v>9</v>
      </c>
      <c r="E544">
        <v>31.6</v>
      </c>
      <c r="F544">
        <v>16</v>
      </c>
      <c r="G544">
        <v>71.8</v>
      </c>
      <c r="H544">
        <v>88.5</v>
      </c>
      <c r="I544">
        <v>26.3</v>
      </c>
      <c r="J544">
        <v>33.299999999999997</v>
      </c>
      <c r="K544">
        <v>11.1</v>
      </c>
      <c r="L544">
        <v>99.557196028999996</v>
      </c>
      <c r="M544">
        <v>32.200000000000003</v>
      </c>
      <c r="N544">
        <v>41.1</v>
      </c>
    </row>
    <row r="545" spans="1:14" x14ac:dyDescent="0.2">
      <c r="A545" t="s">
        <v>1248</v>
      </c>
      <c r="B545">
        <v>678011</v>
      </c>
      <c r="C545">
        <v>2026</v>
      </c>
      <c r="D545">
        <v>2</v>
      </c>
      <c r="E545">
        <v>17.600000000000001</v>
      </c>
      <c r="F545">
        <v>9.4</v>
      </c>
      <c r="G545">
        <v>67.5</v>
      </c>
      <c r="H545">
        <v>88.4</v>
      </c>
      <c r="I545">
        <v>13.9</v>
      </c>
      <c r="J545">
        <v>42.6</v>
      </c>
      <c r="K545">
        <v>4.9000000000000004</v>
      </c>
      <c r="L545">
        <v>97.297546667000006</v>
      </c>
      <c r="M545">
        <v>20.7</v>
      </c>
      <c r="N545">
        <v>45.6</v>
      </c>
    </row>
    <row r="546" spans="1:14" x14ac:dyDescent="0.2">
      <c r="A546" t="s">
        <v>1249</v>
      </c>
      <c r="B546">
        <v>807799</v>
      </c>
      <c r="C546">
        <v>2026</v>
      </c>
      <c r="D546">
        <v>3</v>
      </c>
      <c r="E546">
        <v>11.4</v>
      </c>
      <c r="F546">
        <v>9.5</v>
      </c>
      <c r="G546">
        <v>71.3</v>
      </c>
      <c r="H546">
        <v>88.9</v>
      </c>
      <c r="I546">
        <v>9.1</v>
      </c>
      <c r="J546">
        <v>31.4</v>
      </c>
      <c r="K546">
        <v>2.6</v>
      </c>
      <c r="L546">
        <v>99.173756922999999</v>
      </c>
      <c r="M546">
        <v>16</v>
      </c>
      <c r="N546">
        <v>42.2</v>
      </c>
    </row>
    <row r="547" spans="1:14" x14ac:dyDescent="0.2">
      <c r="A547" t="s">
        <v>1250</v>
      </c>
      <c r="B547">
        <v>676391</v>
      </c>
      <c r="C547">
        <v>2026</v>
      </c>
      <c r="D547">
        <v>8</v>
      </c>
      <c r="E547">
        <v>9.4</v>
      </c>
      <c r="F547">
        <v>3.5</v>
      </c>
      <c r="G547">
        <v>67.400000000000006</v>
      </c>
      <c r="H547">
        <v>85.2</v>
      </c>
      <c r="I547">
        <v>15.9</v>
      </c>
      <c r="J547">
        <v>33.4</v>
      </c>
      <c r="K547">
        <v>2.5</v>
      </c>
      <c r="L547">
        <v>94.639502733</v>
      </c>
      <c r="M547">
        <v>16</v>
      </c>
      <c r="N547">
        <v>57.4</v>
      </c>
    </row>
    <row r="548" spans="1:14" x14ac:dyDescent="0.2">
      <c r="A548" t="s">
        <v>1251</v>
      </c>
      <c r="B548">
        <v>665953</v>
      </c>
      <c r="C548">
        <v>2026</v>
      </c>
      <c r="D548">
        <v>1</v>
      </c>
      <c r="E548">
        <v>27.7</v>
      </c>
      <c r="F548">
        <v>15.4</v>
      </c>
      <c r="G548">
        <v>74.900000000000006</v>
      </c>
      <c r="H548">
        <v>90.3</v>
      </c>
      <c r="I548">
        <v>11.1</v>
      </c>
      <c r="J548">
        <v>30.6</v>
      </c>
      <c r="K548">
        <v>11.1</v>
      </c>
      <c r="L548">
        <v>100.771398889</v>
      </c>
      <c r="M548">
        <v>31.9</v>
      </c>
      <c r="N548">
        <v>42.8</v>
      </c>
    </row>
    <row r="549" spans="1:14" x14ac:dyDescent="0.2">
      <c r="A549" t="s">
        <v>1252</v>
      </c>
      <c r="B549">
        <v>608841</v>
      </c>
      <c r="C549">
        <v>2026</v>
      </c>
      <c r="D549">
        <v>0</v>
      </c>
      <c r="E549">
        <v>16</v>
      </c>
      <c r="F549">
        <v>12</v>
      </c>
      <c r="G549">
        <v>70.2</v>
      </c>
      <c r="H549">
        <v>92.7</v>
      </c>
      <c r="I549">
        <v>12.7</v>
      </c>
      <c r="J549">
        <v>23.5</v>
      </c>
      <c r="K549">
        <v>0</v>
      </c>
      <c r="L549">
        <v>101.34430111099999</v>
      </c>
      <c r="M549">
        <v>23.5</v>
      </c>
      <c r="N549">
        <v>44.7</v>
      </c>
    </row>
    <row r="550" spans="1:14" x14ac:dyDescent="0.2">
      <c r="A550" t="s">
        <v>1253</v>
      </c>
      <c r="B550">
        <v>642201</v>
      </c>
      <c r="C550">
        <v>2026</v>
      </c>
      <c r="D550">
        <v>4</v>
      </c>
      <c r="E550">
        <v>21.6</v>
      </c>
      <c r="F550">
        <v>6.4</v>
      </c>
      <c r="G550">
        <v>73.099999999999994</v>
      </c>
      <c r="H550">
        <v>87</v>
      </c>
      <c r="I550">
        <v>7.4</v>
      </c>
      <c r="J550">
        <v>32.6</v>
      </c>
      <c r="K550">
        <v>5.7</v>
      </c>
      <c r="L550">
        <v>98.430195581000007</v>
      </c>
      <c r="M550">
        <v>27.9</v>
      </c>
      <c r="N550">
        <v>49.5</v>
      </c>
    </row>
    <row r="551" spans="1:14" x14ac:dyDescent="0.2">
      <c r="A551" t="s">
        <v>1254</v>
      </c>
      <c r="B551">
        <v>695657</v>
      </c>
      <c r="C551">
        <v>2026</v>
      </c>
      <c r="D551">
        <v>23</v>
      </c>
      <c r="E551">
        <v>31.8</v>
      </c>
      <c r="F551">
        <v>8.1</v>
      </c>
      <c r="G551">
        <v>76.3</v>
      </c>
      <c r="H551">
        <v>89.2</v>
      </c>
      <c r="I551">
        <v>23</v>
      </c>
      <c r="J551">
        <v>35</v>
      </c>
      <c r="K551">
        <v>13.7</v>
      </c>
      <c r="L551">
        <v>101.701201364</v>
      </c>
      <c r="M551">
        <v>37.1</v>
      </c>
      <c r="N551">
        <v>52.4</v>
      </c>
    </row>
    <row r="552" spans="1:14" x14ac:dyDescent="0.2">
      <c r="A552" t="s">
        <v>1255</v>
      </c>
      <c r="B552">
        <v>678009</v>
      </c>
      <c r="C552">
        <v>2026</v>
      </c>
      <c r="D552">
        <v>0</v>
      </c>
      <c r="E552">
        <v>25.6</v>
      </c>
      <c r="F552">
        <v>5.0999999999999996</v>
      </c>
      <c r="G552">
        <v>70.099999999999994</v>
      </c>
      <c r="H552">
        <v>85.3</v>
      </c>
      <c r="I552">
        <v>13.3</v>
      </c>
      <c r="J552">
        <v>30.8</v>
      </c>
      <c r="K552">
        <v>3.8</v>
      </c>
      <c r="L552">
        <v>94.482146154000006</v>
      </c>
      <c r="M552">
        <v>20.3</v>
      </c>
      <c r="N552">
        <v>45.4</v>
      </c>
    </row>
    <row r="553" spans="1:14" x14ac:dyDescent="0.2">
      <c r="A553" t="s">
        <v>1256</v>
      </c>
      <c r="B553">
        <v>691788</v>
      </c>
      <c r="C553">
        <v>2026</v>
      </c>
      <c r="D553">
        <v>7</v>
      </c>
      <c r="E553">
        <v>23.3</v>
      </c>
      <c r="F553">
        <v>7</v>
      </c>
      <c r="G553">
        <v>74.5</v>
      </c>
      <c r="H553">
        <v>88.7</v>
      </c>
      <c r="I553">
        <v>12.2</v>
      </c>
      <c r="J553">
        <v>27.1</v>
      </c>
      <c r="K553">
        <v>8.5</v>
      </c>
      <c r="L553">
        <v>99.660018621000006</v>
      </c>
      <c r="M553">
        <v>23.3</v>
      </c>
      <c r="N553">
        <v>46.8</v>
      </c>
    </row>
    <row r="554" spans="1:14" x14ac:dyDescent="0.2">
      <c r="A554" t="s">
        <v>1257</v>
      </c>
      <c r="B554">
        <v>681715</v>
      </c>
      <c r="C554">
        <v>2026</v>
      </c>
      <c r="D554">
        <v>13</v>
      </c>
      <c r="E554">
        <v>23.2</v>
      </c>
      <c r="F554">
        <v>10.1</v>
      </c>
      <c r="G554">
        <v>74.900000000000006</v>
      </c>
      <c r="H554">
        <v>91.9</v>
      </c>
      <c r="I554">
        <v>13.6</v>
      </c>
      <c r="J554">
        <v>35.1</v>
      </c>
      <c r="K554">
        <v>11.9</v>
      </c>
      <c r="L554">
        <v>102.01092447400001</v>
      </c>
      <c r="M554">
        <v>32.299999999999997</v>
      </c>
      <c r="N554">
        <v>46.1</v>
      </c>
    </row>
    <row r="555" spans="1:14" x14ac:dyDescent="0.2">
      <c r="A555" t="s">
        <v>1258</v>
      </c>
      <c r="B555">
        <v>643446</v>
      </c>
      <c r="C555">
        <v>2026</v>
      </c>
      <c r="D555">
        <v>3</v>
      </c>
      <c r="E555">
        <v>12.2</v>
      </c>
      <c r="F555">
        <v>7.1</v>
      </c>
      <c r="G555">
        <v>68.2</v>
      </c>
      <c r="H555">
        <v>86.5</v>
      </c>
      <c r="I555">
        <v>14.1</v>
      </c>
      <c r="J555">
        <v>36.1</v>
      </c>
      <c r="K555">
        <v>0.9</v>
      </c>
      <c r="L555">
        <v>96.290659482999999</v>
      </c>
      <c r="M555">
        <v>16.3</v>
      </c>
      <c r="N555">
        <v>56.2</v>
      </c>
    </row>
    <row r="556" spans="1:14" x14ac:dyDescent="0.2">
      <c r="A556" t="s">
        <v>1259</v>
      </c>
      <c r="B556">
        <v>695731</v>
      </c>
      <c r="C556">
        <v>2026</v>
      </c>
      <c r="D556">
        <v>3</v>
      </c>
      <c r="E556">
        <v>20.7</v>
      </c>
      <c r="F556">
        <v>8.6</v>
      </c>
      <c r="G556">
        <v>70</v>
      </c>
      <c r="H556">
        <v>89.6</v>
      </c>
      <c r="I556">
        <v>7.7</v>
      </c>
      <c r="J556">
        <v>30.9</v>
      </c>
      <c r="K556">
        <v>3.7</v>
      </c>
      <c r="L556">
        <v>100.41089925</v>
      </c>
      <c r="M556">
        <v>25.9</v>
      </c>
      <c r="N556">
        <v>51.9</v>
      </c>
    </row>
    <row r="557" spans="1:14" x14ac:dyDescent="0.2">
      <c r="A557" t="s">
        <v>1260</v>
      </c>
      <c r="B557">
        <v>672695</v>
      </c>
      <c r="C557">
        <v>2026</v>
      </c>
      <c r="D557">
        <v>6</v>
      </c>
      <c r="E557">
        <v>12</v>
      </c>
      <c r="F557">
        <v>14.1</v>
      </c>
      <c r="G557">
        <v>67</v>
      </c>
      <c r="H557">
        <v>87.1</v>
      </c>
      <c r="I557">
        <v>14</v>
      </c>
      <c r="J557">
        <v>33</v>
      </c>
      <c r="K557">
        <v>3.2</v>
      </c>
      <c r="L557">
        <v>96.497316057999996</v>
      </c>
      <c r="M557">
        <v>12.2</v>
      </c>
      <c r="N557">
        <v>39.700000000000003</v>
      </c>
    </row>
    <row r="558" spans="1:14" x14ac:dyDescent="0.2">
      <c r="A558" t="s">
        <v>1261</v>
      </c>
      <c r="B558">
        <v>621550</v>
      </c>
      <c r="C558">
        <v>2026</v>
      </c>
      <c r="D558">
        <v>1</v>
      </c>
      <c r="E558">
        <v>40.9</v>
      </c>
      <c r="F558">
        <v>6.8</v>
      </c>
      <c r="G558">
        <v>76.3</v>
      </c>
      <c r="H558">
        <v>92.9</v>
      </c>
      <c r="I558">
        <v>27.8</v>
      </c>
      <c r="J558">
        <v>21.7</v>
      </c>
      <c r="K558">
        <v>21.7</v>
      </c>
      <c r="L558">
        <v>102.305891667</v>
      </c>
      <c r="M558">
        <v>39.799999999999997</v>
      </c>
      <c r="N558">
        <v>57.4</v>
      </c>
    </row>
    <row r="559" spans="1:14" x14ac:dyDescent="0.2">
      <c r="A559" t="s">
        <v>1262</v>
      </c>
      <c r="B559">
        <v>666160</v>
      </c>
      <c r="C559">
        <v>2026</v>
      </c>
      <c r="D559">
        <v>15</v>
      </c>
      <c r="E559">
        <v>25.6</v>
      </c>
      <c r="F559">
        <v>5.7</v>
      </c>
      <c r="G559">
        <v>74.400000000000006</v>
      </c>
      <c r="H559">
        <v>89.6</v>
      </c>
      <c r="I559">
        <v>22.6</v>
      </c>
      <c r="J559">
        <v>30.7</v>
      </c>
      <c r="K559">
        <v>12.4</v>
      </c>
      <c r="L559">
        <v>100.16318013</v>
      </c>
      <c r="M559">
        <v>29.2</v>
      </c>
      <c r="N559">
        <v>58.3</v>
      </c>
    </row>
    <row r="560" spans="1:14" x14ac:dyDescent="0.2">
      <c r="A560" t="s">
        <v>1263</v>
      </c>
      <c r="B560">
        <v>669394</v>
      </c>
      <c r="C560">
        <v>2026</v>
      </c>
      <c r="D560">
        <v>16</v>
      </c>
      <c r="E560">
        <v>26.3</v>
      </c>
      <c r="F560">
        <v>7.8</v>
      </c>
      <c r="G560">
        <v>75.3</v>
      </c>
      <c r="H560">
        <v>89.9</v>
      </c>
      <c r="I560">
        <v>13</v>
      </c>
      <c r="J560">
        <v>30.2</v>
      </c>
      <c r="K560">
        <v>10.4</v>
      </c>
      <c r="L560">
        <v>102.518140167</v>
      </c>
      <c r="M560">
        <v>34</v>
      </c>
      <c r="N560">
        <v>50</v>
      </c>
    </row>
    <row r="561" spans="1:14" x14ac:dyDescent="0.2">
      <c r="A561" t="s">
        <v>1264</v>
      </c>
      <c r="B561">
        <v>691011</v>
      </c>
      <c r="C561">
        <v>2026</v>
      </c>
      <c r="D561">
        <v>5</v>
      </c>
      <c r="E561">
        <v>25.8</v>
      </c>
      <c r="F561">
        <v>10</v>
      </c>
      <c r="G561">
        <v>69.8</v>
      </c>
      <c r="H561">
        <v>84.5</v>
      </c>
      <c r="I561">
        <v>14.4</v>
      </c>
      <c r="J561">
        <v>23.7</v>
      </c>
      <c r="K561">
        <v>7.9</v>
      </c>
      <c r="L561">
        <v>96.098609189000001</v>
      </c>
      <c r="M561">
        <v>29.2</v>
      </c>
      <c r="N561">
        <v>49</v>
      </c>
    </row>
    <row r="562" spans="1:14" x14ac:dyDescent="0.2">
      <c r="A562" t="s">
        <v>1265</v>
      </c>
      <c r="B562">
        <v>673357</v>
      </c>
      <c r="C562">
        <v>2026</v>
      </c>
      <c r="D562">
        <v>2</v>
      </c>
      <c r="E562">
        <v>17.3</v>
      </c>
      <c r="F562">
        <v>13.3</v>
      </c>
      <c r="G562">
        <v>76</v>
      </c>
      <c r="H562">
        <v>90.2</v>
      </c>
      <c r="I562">
        <v>14.7</v>
      </c>
      <c r="J562">
        <v>20.6</v>
      </c>
      <c r="K562">
        <v>2.9</v>
      </c>
      <c r="L562">
        <v>102.167753824</v>
      </c>
      <c r="M562">
        <v>25.6</v>
      </c>
      <c r="N562">
        <v>46.6</v>
      </c>
    </row>
    <row r="563" spans="1:14" x14ac:dyDescent="0.2">
      <c r="A563" t="s">
        <v>1266</v>
      </c>
      <c r="B563">
        <v>694376</v>
      </c>
      <c r="C563">
        <v>2026</v>
      </c>
      <c r="D563">
        <v>2</v>
      </c>
      <c r="E563">
        <v>45.8</v>
      </c>
      <c r="F563">
        <v>4.2</v>
      </c>
      <c r="G563">
        <v>71.900000000000006</v>
      </c>
      <c r="H563">
        <v>90.5</v>
      </c>
      <c r="I563">
        <v>31.1</v>
      </c>
      <c r="J563">
        <v>50</v>
      </c>
      <c r="K563">
        <v>16.7</v>
      </c>
      <c r="L563">
        <v>99.835308333</v>
      </c>
      <c r="M563">
        <v>42.2</v>
      </c>
      <c r="N563">
        <v>48.9</v>
      </c>
    </row>
    <row r="564" spans="1:14" x14ac:dyDescent="0.2">
      <c r="A564" t="s">
        <v>1267</v>
      </c>
      <c r="B564">
        <v>663728</v>
      </c>
      <c r="C564">
        <v>2026</v>
      </c>
      <c r="D564">
        <v>9</v>
      </c>
      <c r="E564">
        <v>32.5</v>
      </c>
      <c r="F564">
        <v>12.5</v>
      </c>
      <c r="G564">
        <v>74.7</v>
      </c>
      <c r="H564">
        <v>88.2</v>
      </c>
      <c r="I564">
        <v>24</v>
      </c>
      <c r="J564">
        <v>34.4</v>
      </c>
      <c r="K564">
        <v>11</v>
      </c>
      <c r="L564">
        <v>98.970769739999994</v>
      </c>
      <c r="M564">
        <v>30.9</v>
      </c>
      <c r="N564">
        <v>51.8</v>
      </c>
    </row>
    <row r="565" spans="1:14" x14ac:dyDescent="0.2">
      <c r="A565" t="s">
        <v>1268</v>
      </c>
      <c r="B565">
        <v>669256</v>
      </c>
      <c r="C565">
        <v>2026</v>
      </c>
      <c r="D565">
        <v>0</v>
      </c>
      <c r="E565">
        <v>0</v>
      </c>
      <c r="F565">
        <v>10</v>
      </c>
      <c r="G565">
        <v>70.8</v>
      </c>
      <c r="H565">
        <v>90.2</v>
      </c>
      <c r="I565">
        <v>-2.6</v>
      </c>
      <c r="J565">
        <v>37.5</v>
      </c>
      <c r="K565">
        <v>12.5</v>
      </c>
      <c r="L565">
        <v>98.323599999999999</v>
      </c>
      <c r="M565">
        <v>0</v>
      </c>
      <c r="N565">
        <v>47.8</v>
      </c>
    </row>
    <row r="566" spans="1:14" x14ac:dyDescent="0.2">
      <c r="A566" t="s">
        <v>1269</v>
      </c>
      <c r="B566">
        <v>668952</v>
      </c>
      <c r="C566">
        <v>2026</v>
      </c>
      <c r="D566">
        <v>5</v>
      </c>
      <c r="E566">
        <v>19.7</v>
      </c>
      <c r="F566">
        <v>8.5</v>
      </c>
      <c r="G566">
        <v>74.5</v>
      </c>
      <c r="H566">
        <v>87.2</v>
      </c>
      <c r="I566">
        <v>11.7</v>
      </c>
      <c r="J566">
        <v>25.7</v>
      </c>
      <c r="K566">
        <v>7.9</v>
      </c>
      <c r="L566">
        <v>98.494492352999998</v>
      </c>
      <c r="M566">
        <v>30.7</v>
      </c>
      <c r="N566">
        <v>51.4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4238B-72EA-284A-88CA-CA5A4349851A}">
  <dimension ref="A1:L596"/>
  <sheetViews>
    <sheetView workbookViewId="0"/>
  </sheetViews>
  <sheetFormatPr baseColWidth="10" defaultRowHeight="16" x14ac:dyDescent="0.2"/>
  <cols>
    <col min="1" max="1" width="35.6640625" bestFit="1" customWidth="1"/>
    <col min="11" max="11" width="12.83203125" customWidth="1"/>
  </cols>
  <sheetData>
    <row r="1" spans="1:12" x14ac:dyDescent="0.2">
      <c r="A1" s="5" t="s">
        <v>514</v>
      </c>
      <c r="B1" s="5" t="s">
        <v>515</v>
      </c>
      <c r="C1" s="5" t="s">
        <v>516</v>
      </c>
      <c r="D1" s="5" t="s">
        <v>2</v>
      </c>
      <c r="E1" s="5" t="s">
        <v>3</v>
      </c>
      <c r="F1" s="5" t="s">
        <v>517</v>
      </c>
      <c r="G1" s="5" t="s">
        <v>518</v>
      </c>
      <c r="H1" s="5" t="s">
        <v>519</v>
      </c>
      <c r="I1" s="5" t="s">
        <v>520</v>
      </c>
      <c r="J1" s="5" t="s">
        <v>521</v>
      </c>
      <c r="K1" s="9" t="s">
        <v>672</v>
      </c>
      <c r="L1" s="9" t="s">
        <v>673</v>
      </c>
    </row>
    <row r="2" spans="1:12" x14ac:dyDescent="0.2">
      <c r="A2" t="s">
        <v>288</v>
      </c>
      <c r="B2" s="6">
        <v>0</v>
      </c>
      <c r="C2" s="6">
        <v>0</v>
      </c>
      <c r="D2" s="6">
        <v>0</v>
      </c>
      <c r="E2" s="6">
        <v>0</v>
      </c>
      <c r="F2" s="6">
        <v>90</v>
      </c>
      <c r="G2" s="6">
        <v>0</v>
      </c>
      <c r="H2" s="6">
        <v>0</v>
      </c>
      <c r="I2" s="6">
        <v>0</v>
      </c>
      <c r="J2" s="6">
        <v>2</v>
      </c>
      <c r="K2" s="7" t="str">
        <f t="shared" ref="K2:K9" si="0">INDEX($B$1:$J$1, MATCH(MAX(B2:J2), B2:J2, 0))</f>
        <v>SS</v>
      </c>
      <c r="L2" t="b">
        <f>COUNTIF(B2:J2, MAX(B2:J2)) &gt; 1</f>
        <v>0</v>
      </c>
    </row>
    <row r="3" spans="1:12" x14ac:dyDescent="0.2">
      <c r="A3" t="s">
        <v>326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91</v>
      </c>
      <c r="J3" s="6">
        <v>1</v>
      </c>
      <c r="K3" s="7" t="str">
        <f t="shared" si="0"/>
        <v>RF</v>
      </c>
      <c r="L3" t="b">
        <f t="shared" ref="L3:L66" si="1">COUNTIF(B3:J3, MAX(B3:J3)) &gt; 1</f>
        <v>0</v>
      </c>
    </row>
    <row r="4" spans="1:12" x14ac:dyDescent="0.2">
      <c r="A4" t="s">
        <v>522</v>
      </c>
      <c r="B4" s="6">
        <v>0</v>
      </c>
      <c r="C4" s="6">
        <v>0</v>
      </c>
      <c r="D4" s="6">
        <v>1</v>
      </c>
      <c r="E4" s="6">
        <v>0</v>
      </c>
      <c r="F4" s="6">
        <v>37</v>
      </c>
      <c r="G4" s="6">
        <v>0</v>
      </c>
      <c r="H4" s="6">
        <v>30</v>
      </c>
      <c r="I4" s="6">
        <v>0</v>
      </c>
      <c r="J4" s="6">
        <v>2</v>
      </c>
      <c r="K4" s="7" t="str">
        <f t="shared" si="0"/>
        <v>SS</v>
      </c>
      <c r="L4" t="b">
        <f t="shared" si="1"/>
        <v>0</v>
      </c>
    </row>
    <row r="5" spans="1:12" x14ac:dyDescent="0.2">
      <c r="A5" t="s">
        <v>523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49</v>
      </c>
      <c r="J5" s="6">
        <v>4</v>
      </c>
      <c r="K5" s="7" t="str">
        <f t="shared" si="0"/>
        <v>RF</v>
      </c>
      <c r="L5" t="b">
        <f t="shared" si="1"/>
        <v>0</v>
      </c>
    </row>
    <row r="6" spans="1:12" x14ac:dyDescent="0.2">
      <c r="A6" t="s">
        <v>37</v>
      </c>
      <c r="B6" s="6">
        <v>0</v>
      </c>
      <c r="C6" s="6">
        <v>0</v>
      </c>
      <c r="D6" s="6">
        <v>0</v>
      </c>
      <c r="E6" s="6">
        <v>0</v>
      </c>
      <c r="F6" s="6">
        <v>90</v>
      </c>
      <c r="G6" s="6">
        <v>0</v>
      </c>
      <c r="H6" s="6">
        <v>0</v>
      </c>
      <c r="I6" s="6">
        <v>0</v>
      </c>
      <c r="J6" s="6">
        <v>0</v>
      </c>
      <c r="K6" s="7" t="str">
        <f t="shared" si="0"/>
        <v>SS</v>
      </c>
      <c r="L6" t="b">
        <f t="shared" si="1"/>
        <v>0</v>
      </c>
    </row>
    <row r="7" spans="1:12" x14ac:dyDescent="0.2">
      <c r="A7" t="s">
        <v>43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7</v>
      </c>
      <c r="H7" s="6">
        <v>3</v>
      </c>
      <c r="I7" s="6">
        <v>91</v>
      </c>
      <c r="J7" s="6">
        <v>4</v>
      </c>
      <c r="K7" s="7" t="str">
        <f t="shared" si="0"/>
        <v>RF</v>
      </c>
      <c r="L7" t="b">
        <f t="shared" si="1"/>
        <v>0</v>
      </c>
    </row>
    <row r="8" spans="1:12" x14ac:dyDescent="0.2">
      <c r="A8" t="s">
        <v>464</v>
      </c>
      <c r="B8" s="6">
        <v>0</v>
      </c>
      <c r="C8" s="6">
        <v>0</v>
      </c>
      <c r="D8" s="6">
        <v>94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7" t="str">
        <f t="shared" si="0"/>
        <v>2B</v>
      </c>
      <c r="L8" t="b">
        <f t="shared" si="1"/>
        <v>0</v>
      </c>
    </row>
    <row r="9" spans="1:12" x14ac:dyDescent="0.2">
      <c r="A9" t="s">
        <v>524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3</v>
      </c>
      <c r="H9" s="6">
        <v>2</v>
      </c>
      <c r="I9" s="6">
        <v>1</v>
      </c>
      <c r="J9" s="6">
        <v>8</v>
      </c>
      <c r="K9" s="7" t="str">
        <f t="shared" si="0"/>
        <v>DH</v>
      </c>
      <c r="L9" t="b">
        <f t="shared" si="1"/>
        <v>0</v>
      </c>
    </row>
    <row r="10" spans="1:12" x14ac:dyDescent="0.2">
      <c r="A10" t="s">
        <v>142</v>
      </c>
      <c r="B10" s="6">
        <v>0</v>
      </c>
      <c r="C10" s="6">
        <v>0</v>
      </c>
      <c r="D10" s="6">
        <v>16</v>
      </c>
      <c r="E10" s="6">
        <v>53</v>
      </c>
      <c r="F10" s="6">
        <v>11</v>
      </c>
      <c r="G10" s="6">
        <v>7</v>
      </c>
      <c r="H10" s="6">
        <v>8</v>
      </c>
      <c r="I10" s="6">
        <v>4</v>
      </c>
      <c r="J10" s="6">
        <v>0</v>
      </c>
      <c r="K10" s="7" t="str">
        <f t="shared" ref="K10:K73" si="2">INDEX($B$1:$J$1, MATCH(MAX(B10:J10), B10:J10, 0))</f>
        <v>3B</v>
      </c>
      <c r="L10" t="b">
        <f t="shared" si="1"/>
        <v>0</v>
      </c>
    </row>
    <row r="11" spans="1:12" x14ac:dyDescent="0.2">
      <c r="A11" t="s">
        <v>525</v>
      </c>
      <c r="B11" s="6">
        <v>5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7" t="str">
        <f t="shared" si="2"/>
        <v>C</v>
      </c>
      <c r="L11" t="b">
        <f t="shared" si="1"/>
        <v>0</v>
      </c>
    </row>
    <row r="12" spans="1:12" x14ac:dyDescent="0.2">
      <c r="A12" t="s">
        <v>229</v>
      </c>
      <c r="B12" s="6">
        <v>0</v>
      </c>
      <c r="C12" s="6">
        <v>0</v>
      </c>
      <c r="D12" s="6">
        <v>17</v>
      </c>
      <c r="E12" s="6">
        <v>6</v>
      </c>
      <c r="F12" s="6">
        <v>25</v>
      </c>
      <c r="G12" s="6">
        <v>0</v>
      </c>
      <c r="H12" s="6">
        <v>0</v>
      </c>
      <c r="I12" s="6">
        <v>0</v>
      </c>
      <c r="J12" s="6">
        <v>0</v>
      </c>
      <c r="K12" s="7" t="str">
        <f t="shared" si="2"/>
        <v>SS</v>
      </c>
      <c r="L12" t="b">
        <f t="shared" si="1"/>
        <v>0</v>
      </c>
    </row>
    <row r="13" spans="1:12" x14ac:dyDescent="0.2">
      <c r="A13" t="s">
        <v>14</v>
      </c>
      <c r="B13" s="6">
        <v>0</v>
      </c>
      <c r="C13" s="6">
        <v>90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8</v>
      </c>
      <c r="K13" s="7" t="str">
        <f t="shared" si="2"/>
        <v>1B</v>
      </c>
      <c r="L13" t="b">
        <f t="shared" si="1"/>
        <v>0</v>
      </c>
    </row>
    <row r="14" spans="1:12" x14ac:dyDescent="0.2">
      <c r="A14" t="s">
        <v>55</v>
      </c>
      <c r="B14" s="6">
        <v>0</v>
      </c>
      <c r="C14" s="6">
        <v>0</v>
      </c>
      <c r="D14" s="6">
        <v>71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3</v>
      </c>
      <c r="K14" s="7" t="str">
        <f t="shared" si="2"/>
        <v>2B</v>
      </c>
      <c r="L14" t="b">
        <f t="shared" si="1"/>
        <v>0</v>
      </c>
    </row>
    <row r="15" spans="1:12" x14ac:dyDescent="0.2">
      <c r="A15" t="s">
        <v>81</v>
      </c>
      <c r="B15" s="6">
        <v>49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13</v>
      </c>
      <c r="K15" s="7" t="str">
        <f t="shared" si="2"/>
        <v>C</v>
      </c>
      <c r="L15" t="b">
        <f t="shared" si="1"/>
        <v>0</v>
      </c>
    </row>
    <row r="16" spans="1:12" x14ac:dyDescent="0.2">
      <c r="A16" t="s">
        <v>277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15</v>
      </c>
      <c r="H16" s="6">
        <v>0</v>
      </c>
      <c r="I16" s="6">
        <v>0</v>
      </c>
      <c r="J16" s="6">
        <v>81</v>
      </c>
      <c r="K16" s="7" t="str">
        <f t="shared" si="2"/>
        <v>DH</v>
      </c>
      <c r="L16" t="b">
        <f t="shared" si="1"/>
        <v>0</v>
      </c>
    </row>
    <row r="17" spans="1:12" x14ac:dyDescent="0.2">
      <c r="A17" t="s">
        <v>175</v>
      </c>
      <c r="B17" s="6">
        <v>41</v>
      </c>
      <c r="C17" s="6">
        <v>1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8</v>
      </c>
      <c r="K17" s="7" t="str">
        <f t="shared" si="2"/>
        <v>C</v>
      </c>
      <c r="L17" t="b">
        <f t="shared" si="1"/>
        <v>0</v>
      </c>
    </row>
    <row r="18" spans="1:12" x14ac:dyDescent="0.2">
      <c r="A18" t="s">
        <v>127</v>
      </c>
      <c r="B18" s="6">
        <v>0</v>
      </c>
      <c r="C18" s="6">
        <v>2</v>
      </c>
      <c r="D18" s="6">
        <v>0</v>
      </c>
      <c r="E18" s="6">
        <v>6</v>
      </c>
      <c r="F18" s="6">
        <v>0</v>
      </c>
      <c r="G18" s="6">
        <v>0</v>
      </c>
      <c r="H18" s="6">
        <v>0</v>
      </c>
      <c r="I18" s="6">
        <v>0</v>
      </c>
      <c r="J18" s="6">
        <v>57</v>
      </c>
      <c r="K18" s="7" t="str">
        <f t="shared" si="2"/>
        <v>DH</v>
      </c>
      <c r="L18" t="b">
        <f t="shared" si="1"/>
        <v>0</v>
      </c>
    </row>
    <row r="19" spans="1:12" x14ac:dyDescent="0.2">
      <c r="A19" t="s">
        <v>439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16</v>
      </c>
      <c r="H19" s="6">
        <v>0</v>
      </c>
      <c r="I19" s="6">
        <v>1</v>
      </c>
      <c r="J19" s="6">
        <v>13</v>
      </c>
      <c r="K19" s="7" t="str">
        <f t="shared" si="2"/>
        <v>LF</v>
      </c>
      <c r="L19" t="b">
        <f t="shared" si="1"/>
        <v>0</v>
      </c>
    </row>
    <row r="20" spans="1:12" x14ac:dyDescent="0.2">
      <c r="A20" t="s">
        <v>367</v>
      </c>
      <c r="B20" s="6">
        <v>0</v>
      </c>
      <c r="C20" s="6">
        <v>0</v>
      </c>
      <c r="D20" s="6">
        <v>15</v>
      </c>
      <c r="E20" s="6">
        <v>1</v>
      </c>
      <c r="F20" s="6">
        <v>0</v>
      </c>
      <c r="G20" s="6">
        <v>69</v>
      </c>
      <c r="H20" s="6">
        <v>0</v>
      </c>
      <c r="I20" s="6">
        <v>0</v>
      </c>
      <c r="J20" s="6">
        <v>0</v>
      </c>
      <c r="K20" s="7" t="str">
        <f t="shared" si="2"/>
        <v>LF</v>
      </c>
      <c r="L20" t="b">
        <f t="shared" si="1"/>
        <v>0</v>
      </c>
    </row>
    <row r="21" spans="1:12" x14ac:dyDescent="0.2">
      <c r="A21" t="s">
        <v>308</v>
      </c>
      <c r="B21" s="6">
        <v>0</v>
      </c>
      <c r="C21" s="6">
        <v>89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4</v>
      </c>
      <c r="K21" s="7" t="str">
        <f t="shared" si="2"/>
        <v>1B</v>
      </c>
      <c r="L21" t="b">
        <f t="shared" si="1"/>
        <v>0</v>
      </c>
    </row>
    <row r="22" spans="1:12" x14ac:dyDescent="0.2">
      <c r="A22" t="s">
        <v>242</v>
      </c>
      <c r="B22" s="6">
        <v>0</v>
      </c>
      <c r="C22" s="6">
        <v>3</v>
      </c>
      <c r="D22" s="6">
        <v>6</v>
      </c>
      <c r="E22" s="6">
        <v>2</v>
      </c>
      <c r="F22" s="6">
        <v>10</v>
      </c>
      <c r="G22" s="6">
        <v>0</v>
      </c>
      <c r="H22" s="6">
        <v>0</v>
      </c>
      <c r="I22" s="6">
        <v>0</v>
      </c>
      <c r="J22" s="6">
        <v>0</v>
      </c>
      <c r="K22" s="7" t="str">
        <f t="shared" si="2"/>
        <v>SS</v>
      </c>
      <c r="L22" t="b">
        <f t="shared" si="1"/>
        <v>0</v>
      </c>
    </row>
    <row r="23" spans="1:12" x14ac:dyDescent="0.2">
      <c r="A23" t="s">
        <v>49</v>
      </c>
      <c r="B23" s="6">
        <v>0</v>
      </c>
      <c r="C23" s="6">
        <v>0</v>
      </c>
      <c r="D23" s="6">
        <v>0</v>
      </c>
      <c r="E23" s="6">
        <v>87</v>
      </c>
      <c r="F23" s="6">
        <v>0</v>
      </c>
      <c r="G23" s="6">
        <v>0</v>
      </c>
      <c r="H23" s="6">
        <v>0</v>
      </c>
      <c r="I23" s="6">
        <v>0</v>
      </c>
      <c r="J23" s="6">
        <v>3</v>
      </c>
      <c r="K23" s="7" t="str">
        <f t="shared" si="2"/>
        <v>3B</v>
      </c>
      <c r="L23" t="b">
        <f t="shared" si="1"/>
        <v>0</v>
      </c>
    </row>
    <row r="24" spans="1:12" x14ac:dyDescent="0.2">
      <c r="A24" t="s">
        <v>136</v>
      </c>
      <c r="B24" s="6">
        <v>0</v>
      </c>
      <c r="C24" s="6">
        <v>0</v>
      </c>
      <c r="D24" s="6">
        <v>0</v>
      </c>
      <c r="E24" s="6">
        <v>20</v>
      </c>
      <c r="F24" s="6">
        <v>10</v>
      </c>
      <c r="G24" s="6">
        <v>0</v>
      </c>
      <c r="H24" s="6">
        <v>0</v>
      </c>
      <c r="I24" s="6">
        <v>0</v>
      </c>
      <c r="J24" s="6">
        <v>0</v>
      </c>
      <c r="K24" s="7" t="str">
        <f t="shared" si="2"/>
        <v>3B</v>
      </c>
      <c r="L24" t="b">
        <f t="shared" si="1"/>
        <v>0</v>
      </c>
    </row>
    <row r="25" spans="1:12" x14ac:dyDescent="0.2">
      <c r="A25" t="s">
        <v>52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85</v>
      </c>
      <c r="H25" s="6">
        <v>0</v>
      </c>
      <c r="I25" s="6">
        <v>0</v>
      </c>
      <c r="J25" s="6">
        <v>4</v>
      </c>
      <c r="K25" s="7" t="str">
        <f t="shared" si="2"/>
        <v>LF</v>
      </c>
      <c r="L25" t="b">
        <f t="shared" si="1"/>
        <v>0</v>
      </c>
    </row>
    <row r="26" spans="1:12" x14ac:dyDescent="0.2">
      <c r="A26" t="s">
        <v>388</v>
      </c>
      <c r="B26" s="6">
        <v>0</v>
      </c>
      <c r="C26" s="6">
        <v>0</v>
      </c>
      <c r="D26" s="6">
        <v>88</v>
      </c>
      <c r="E26" s="6">
        <v>1</v>
      </c>
      <c r="F26" s="6">
        <v>0</v>
      </c>
      <c r="G26" s="6">
        <v>0</v>
      </c>
      <c r="H26" s="6">
        <v>0</v>
      </c>
      <c r="I26" s="6">
        <v>0</v>
      </c>
      <c r="J26" s="6">
        <v>1</v>
      </c>
      <c r="K26" s="7" t="str">
        <f t="shared" si="2"/>
        <v>2B</v>
      </c>
      <c r="L26" t="b">
        <f t="shared" si="1"/>
        <v>0</v>
      </c>
    </row>
    <row r="27" spans="1:12" x14ac:dyDescent="0.2">
      <c r="A27" t="s">
        <v>510</v>
      </c>
      <c r="B27" s="6">
        <v>0</v>
      </c>
      <c r="C27" s="6">
        <v>0</v>
      </c>
      <c r="D27" s="6">
        <v>30</v>
      </c>
      <c r="E27" s="6">
        <v>0</v>
      </c>
      <c r="F27" s="6">
        <v>4</v>
      </c>
      <c r="G27" s="6">
        <v>0</v>
      </c>
      <c r="H27" s="6">
        <v>0</v>
      </c>
      <c r="I27" s="6">
        <v>0</v>
      </c>
      <c r="J27" s="6">
        <v>0</v>
      </c>
      <c r="K27" s="7" t="str">
        <f t="shared" si="2"/>
        <v>2B</v>
      </c>
      <c r="L27" t="b">
        <f t="shared" si="1"/>
        <v>0</v>
      </c>
    </row>
    <row r="28" spans="1:12" x14ac:dyDescent="0.2">
      <c r="A28" t="s">
        <v>526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2</v>
      </c>
      <c r="H28" s="6">
        <v>1</v>
      </c>
      <c r="I28" s="6">
        <v>7</v>
      </c>
      <c r="J28" s="6">
        <v>0</v>
      </c>
      <c r="K28" s="7" t="str">
        <f t="shared" si="2"/>
        <v>RF</v>
      </c>
      <c r="L28" t="b">
        <f t="shared" si="1"/>
        <v>0</v>
      </c>
    </row>
    <row r="29" spans="1:12" x14ac:dyDescent="0.2">
      <c r="A29" t="s">
        <v>135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30</v>
      </c>
      <c r="I29" s="6">
        <v>0</v>
      </c>
      <c r="J29" s="6">
        <v>0</v>
      </c>
      <c r="K29" s="7" t="str">
        <f t="shared" si="2"/>
        <v>CF</v>
      </c>
      <c r="L29" t="b">
        <f t="shared" si="1"/>
        <v>0</v>
      </c>
    </row>
    <row r="30" spans="1:12" x14ac:dyDescent="0.2">
      <c r="A30" t="s">
        <v>527</v>
      </c>
      <c r="B30" s="6">
        <v>0</v>
      </c>
      <c r="C30" s="6">
        <v>0</v>
      </c>
      <c r="D30" s="6">
        <v>3</v>
      </c>
      <c r="E30" s="6">
        <v>0</v>
      </c>
      <c r="F30" s="6">
        <v>17</v>
      </c>
      <c r="G30" s="6">
        <v>0</v>
      </c>
      <c r="H30" s="6">
        <v>10</v>
      </c>
      <c r="I30" s="6">
        <v>0</v>
      </c>
      <c r="J30" s="6">
        <v>0</v>
      </c>
      <c r="K30" s="7" t="str">
        <f t="shared" si="2"/>
        <v>SS</v>
      </c>
      <c r="L30" t="b">
        <f t="shared" si="1"/>
        <v>0</v>
      </c>
    </row>
    <row r="31" spans="1:12" x14ac:dyDescent="0.2">
      <c r="A31" t="s">
        <v>489</v>
      </c>
      <c r="B31" s="6">
        <v>63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7" t="str">
        <f t="shared" si="2"/>
        <v>C</v>
      </c>
      <c r="L31" t="b">
        <f t="shared" si="1"/>
        <v>0</v>
      </c>
    </row>
    <row r="32" spans="1:12" x14ac:dyDescent="0.2">
      <c r="A32" t="s">
        <v>528</v>
      </c>
      <c r="B32" s="6">
        <v>0</v>
      </c>
      <c r="C32" s="6">
        <v>2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7" t="str">
        <f t="shared" si="2"/>
        <v>1B</v>
      </c>
      <c r="L32" t="b">
        <f t="shared" si="1"/>
        <v>0</v>
      </c>
    </row>
    <row r="33" spans="1:12" x14ac:dyDescent="0.2">
      <c r="A33" t="s">
        <v>303</v>
      </c>
      <c r="B33" s="6">
        <v>51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28</v>
      </c>
      <c r="K33" s="7" t="str">
        <f t="shared" si="2"/>
        <v>C</v>
      </c>
      <c r="L33" t="b">
        <f t="shared" si="1"/>
        <v>0</v>
      </c>
    </row>
    <row r="34" spans="1:12" x14ac:dyDescent="0.2">
      <c r="A34" t="s">
        <v>529</v>
      </c>
      <c r="B34" s="6">
        <v>8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47</v>
      </c>
      <c r="K34" s="7" t="str">
        <f t="shared" si="2"/>
        <v>DH</v>
      </c>
      <c r="L34" t="b">
        <f t="shared" si="1"/>
        <v>0</v>
      </c>
    </row>
    <row r="35" spans="1:12" x14ac:dyDescent="0.2">
      <c r="A35" t="s">
        <v>530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8</v>
      </c>
      <c r="J35" s="6">
        <v>0</v>
      </c>
      <c r="K35" s="7" t="str">
        <f t="shared" si="2"/>
        <v>RF</v>
      </c>
      <c r="L35" t="b">
        <f t="shared" si="1"/>
        <v>0</v>
      </c>
    </row>
    <row r="36" spans="1:12" x14ac:dyDescent="0.2">
      <c r="A36" t="s">
        <v>495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11</v>
      </c>
      <c r="H36" s="6">
        <v>42</v>
      </c>
      <c r="I36" s="6">
        <v>15</v>
      </c>
      <c r="J36" s="6">
        <v>0</v>
      </c>
      <c r="K36" s="7" t="str">
        <f t="shared" si="2"/>
        <v>CF</v>
      </c>
      <c r="L36" t="b">
        <f t="shared" si="1"/>
        <v>0</v>
      </c>
    </row>
    <row r="37" spans="1:12" x14ac:dyDescent="0.2">
      <c r="A37" t="s">
        <v>160</v>
      </c>
      <c r="B37" s="6">
        <v>31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2</v>
      </c>
      <c r="K37" s="7" t="str">
        <f t="shared" si="2"/>
        <v>C</v>
      </c>
      <c r="L37" t="b">
        <f t="shared" si="1"/>
        <v>0</v>
      </c>
    </row>
    <row r="38" spans="1:12" x14ac:dyDescent="0.2">
      <c r="A38" t="s">
        <v>297</v>
      </c>
      <c r="B38" s="6">
        <v>44</v>
      </c>
      <c r="C38" s="6">
        <v>7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30</v>
      </c>
      <c r="K38" s="7" t="str">
        <f t="shared" si="2"/>
        <v>C</v>
      </c>
      <c r="L38" t="b">
        <f t="shared" si="1"/>
        <v>0</v>
      </c>
    </row>
    <row r="39" spans="1:12" x14ac:dyDescent="0.2">
      <c r="A39" t="s">
        <v>389</v>
      </c>
      <c r="B39" s="6">
        <v>0</v>
      </c>
      <c r="C39" s="6">
        <v>12</v>
      </c>
      <c r="D39" s="6">
        <v>15</v>
      </c>
      <c r="E39" s="6">
        <v>50</v>
      </c>
      <c r="F39" s="6">
        <v>1</v>
      </c>
      <c r="G39" s="6">
        <v>0</v>
      </c>
      <c r="H39" s="6">
        <v>0</v>
      </c>
      <c r="I39" s="6">
        <v>19</v>
      </c>
      <c r="J39" s="6">
        <v>3</v>
      </c>
      <c r="K39" s="7" t="str">
        <f t="shared" si="2"/>
        <v>3B</v>
      </c>
      <c r="L39" t="b">
        <f t="shared" si="1"/>
        <v>0</v>
      </c>
    </row>
    <row r="40" spans="1:12" x14ac:dyDescent="0.2">
      <c r="A40" t="s">
        <v>292</v>
      </c>
      <c r="B40" s="6">
        <v>0</v>
      </c>
      <c r="C40" s="6">
        <v>73</v>
      </c>
      <c r="D40" s="6">
        <v>0</v>
      </c>
      <c r="E40" s="6">
        <v>0</v>
      </c>
      <c r="F40" s="6">
        <v>0</v>
      </c>
      <c r="G40" s="6">
        <v>16</v>
      </c>
      <c r="H40" s="6">
        <v>0</v>
      </c>
      <c r="I40" s="6">
        <v>11</v>
      </c>
      <c r="J40" s="6">
        <v>3</v>
      </c>
      <c r="K40" s="7" t="str">
        <f t="shared" si="2"/>
        <v>1B</v>
      </c>
      <c r="L40" t="b">
        <f t="shared" si="1"/>
        <v>0</v>
      </c>
    </row>
    <row r="41" spans="1:12" x14ac:dyDescent="0.2">
      <c r="A41" t="s">
        <v>358</v>
      </c>
      <c r="B41" s="6">
        <v>0</v>
      </c>
      <c r="C41" s="6">
        <v>0</v>
      </c>
      <c r="D41" s="6">
        <v>64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1</v>
      </c>
      <c r="K41" s="7" t="str">
        <f t="shared" si="2"/>
        <v>2B</v>
      </c>
      <c r="L41" t="b">
        <f t="shared" si="1"/>
        <v>0</v>
      </c>
    </row>
    <row r="42" spans="1:12" x14ac:dyDescent="0.2">
      <c r="A42" t="s">
        <v>421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6</v>
      </c>
      <c r="H42" s="6">
        <v>7</v>
      </c>
      <c r="I42" s="6">
        <v>22</v>
      </c>
      <c r="J42" s="6">
        <v>8</v>
      </c>
      <c r="K42" s="7" t="str">
        <f t="shared" si="2"/>
        <v>RF</v>
      </c>
      <c r="L42" t="b">
        <f t="shared" si="1"/>
        <v>0</v>
      </c>
    </row>
    <row r="43" spans="1:12" x14ac:dyDescent="0.2">
      <c r="A43" t="s">
        <v>230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17</v>
      </c>
      <c r="H43" s="6">
        <v>0</v>
      </c>
      <c r="I43" s="6">
        <v>11</v>
      </c>
      <c r="J43" s="6">
        <v>0</v>
      </c>
      <c r="K43" s="7" t="str">
        <f t="shared" si="2"/>
        <v>LF</v>
      </c>
      <c r="L43" t="b">
        <f t="shared" si="1"/>
        <v>0</v>
      </c>
    </row>
    <row r="44" spans="1:12" x14ac:dyDescent="0.2">
      <c r="A44" t="s">
        <v>466</v>
      </c>
      <c r="B44" s="6">
        <v>0</v>
      </c>
      <c r="C44" s="6">
        <v>19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70</v>
      </c>
      <c r="K44" s="7" t="str">
        <f t="shared" si="2"/>
        <v>DH</v>
      </c>
      <c r="L44" t="b">
        <f t="shared" si="1"/>
        <v>0</v>
      </c>
    </row>
    <row r="45" spans="1:12" x14ac:dyDescent="0.2">
      <c r="A45" t="s">
        <v>325</v>
      </c>
      <c r="B45" s="6">
        <v>0</v>
      </c>
      <c r="C45" s="6">
        <v>4</v>
      </c>
      <c r="D45" s="6">
        <v>0</v>
      </c>
      <c r="E45" s="6">
        <v>0</v>
      </c>
      <c r="F45" s="6">
        <v>0</v>
      </c>
      <c r="G45" s="6">
        <v>85</v>
      </c>
      <c r="H45" s="6">
        <v>17</v>
      </c>
      <c r="I45" s="6">
        <v>5</v>
      </c>
      <c r="J45" s="6">
        <v>1</v>
      </c>
      <c r="K45" s="7" t="str">
        <f t="shared" si="2"/>
        <v>LF</v>
      </c>
      <c r="L45" t="b">
        <f t="shared" si="1"/>
        <v>0</v>
      </c>
    </row>
    <row r="46" spans="1:12" x14ac:dyDescent="0.2">
      <c r="A46" t="s">
        <v>327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16</v>
      </c>
      <c r="H46" s="6">
        <v>11</v>
      </c>
      <c r="I46" s="6">
        <v>73</v>
      </c>
      <c r="J46" s="6">
        <v>1</v>
      </c>
      <c r="K46" s="7" t="str">
        <f t="shared" si="2"/>
        <v>RF</v>
      </c>
      <c r="L46" t="b">
        <f t="shared" si="1"/>
        <v>0</v>
      </c>
    </row>
    <row r="47" spans="1:12" x14ac:dyDescent="0.2">
      <c r="A47" t="s">
        <v>338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9</v>
      </c>
      <c r="H47" s="6">
        <v>0</v>
      </c>
      <c r="I47" s="6">
        <v>1</v>
      </c>
      <c r="J47" s="6">
        <v>68</v>
      </c>
      <c r="K47" s="7" t="str">
        <f t="shared" si="2"/>
        <v>DH</v>
      </c>
      <c r="L47" t="b">
        <f t="shared" si="1"/>
        <v>0</v>
      </c>
    </row>
    <row r="48" spans="1:12" x14ac:dyDescent="0.2">
      <c r="A48" t="s">
        <v>412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7</v>
      </c>
      <c r="H48" s="6">
        <v>3</v>
      </c>
      <c r="I48" s="6">
        <v>31</v>
      </c>
      <c r="J48" s="6">
        <v>2</v>
      </c>
      <c r="K48" s="7" t="str">
        <f t="shared" si="2"/>
        <v>RF</v>
      </c>
      <c r="L48" t="b">
        <f t="shared" si="1"/>
        <v>0</v>
      </c>
    </row>
    <row r="49" spans="1:12" x14ac:dyDescent="0.2">
      <c r="A49" t="s">
        <v>531</v>
      </c>
      <c r="B49" s="6">
        <v>0</v>
      </c>
      <c r="C49" s="6">
        <v>1</v>
      </c>
      <c r="D49" s="6">
        <v>0</v>
      </c>
      <c r="E49" s="6">
        <v>0</v>
      </c>
      <c r="F49" s="6">
        <v>0</v>
      </c>
      <c r="G49" s="6">
        <v>11</v>
      </c>
      <c r="H49" s="6">
        <v>0</v>
      </c>
      <c r="I49" s="6">
        <v>12</v>
      </c>
      <c r="J49" s="6">
        <v>0</v>
      </c>
      <c r="K49" s="7" t="str">
        <f t="shared" si="2"/>
        <v>RF</v>
      </c>
      <c r="L49" t="b">
        <f t="shared" si="1"/>
        <v>0</v>
      </c>
    </row>
    <row r="50" spans="1:12" x14ac:dyDescent="0.2">
      <c r="A50" t="s">
        <v>532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1</v>
      </c>
      <c r="H50" s="6">
        <v>3</v>
      </c>
      <c r="I50" s="6">
        <v>2</v>
      </c>
      <c r="J50" s="6">
        <v>0</v>
      </c>
      <c r="K50" s="7" t="str">
        <f t="shared" si="2"/>
        <v>CF</v>
      </c>
      <c r="L50" t="b">
        <f t="shared" si="1"/>
        <v>0</v>
      </c>
    </row>
    <row r="51" spans="1:12" x14ac:dyDescent="0.2">
      <c r="A51" t="s">
        <v>58</v>
      </c>
      <c r="B51" s="6">
        <v>0</v>
      </c>
      <c r="C51" s="6">
        <v>0</v>
      </c>
      <c r="D51" s="6">
        <v>0</v>
      </c>
      <c r="E51" s="6">
        <v>0</v>
      </c>
      <c r="F51" s="6">
        <v>60</v>
      </c>
      <c r="G51" s="6">
        <v>0</v>
      </c>
      <c r="H51" s="6">
        <v>0</v>
      </c>
      <c r="I51" s="6">
        <v>0</v>
      </c>
      <c r="J51" s="6">
        <v>0</v>
      </c>
      <c r="K51" s="7" t="str">
        <f t="shared" si="2"/>
        <v>SS</v>
      </c>
      <c r="L51" t="b">
        <f t="shared" si="1"/>
        <v>0</v>
      </c>
    </row>
    <row r="52" spans="1:12" x14ac:dyDescent="0.2">
      <c r="A52" t="s">
        <v>63</v>
      </c>
      <c r="B52" s="6">
        <v>0</v>
      </c>
      <c r="C52" s="6">
        <v>0</v>
      </c>
      <c r="D52" s="6">
        <v>1</v>
      </c>
      <c r="E52" s="6">
        <v>53</v>
      </c>
      <c r="F52" s="6">
        <v>47</v>
      </c>
      <c r="G52" s="6">
        <v>0</v>
      </c>
      <c r="H52" s="6">
        <v>0</v>
      </c>
      <c r="I52" s="6">
        <v>0</v>
      </c>
      <c r="J52" s="6">
        <v>2</v>
      </c>
      <c r="K52" s="7" t="str">
        <f t="shared" si="2"/>
        <v>3B</v>
      </c>
      <c r="L52" t="b">
        <f t="shared" si="1"/>
        <v>0</v>
      </c>
    </row>
    <row r="53" spans="1:12" x14ac:dyDescent="0.2">
      <c r="A53" t="s">
        <v>533</v>
      </c>
      <c r="B53" s="6">
        <v>0</v>
      </c>
      <c r="C53" s="6">
        <v>1</v>
      </c>
      <c r="D53" s="6">
        <v>0</v>
      </c>
      <c r="E53" s="6">
        <v>0</v>
      </c>
      <c r="F53" s="6">
        <v>0</v>
      </c>
      <c r="G53" s="6">
        <v>1</v>
      </c>
      <c r="H53" s="6">
        <v>0</v>
      </c>
      <c r="I53" s="6">
        <v>0</v>
      </c>
      <c r="J53" s="6">
        <v>6</v>
      </c>
      <c r="K53" s="7" t="str">
        <f t="shared" si="2"/>
        <v>DH</v>
      </c>
      <c r="L53" t="b">
        <f t="shared" si="1"/>
        <v>0</v>
      </c>
    </row>
    <row r="54" spans="1:12" x14ac:dyDescent="0.2">
      <c r="A54" t="s">
        <v>298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60</v>
      </c>
      <c r="H54" s="6">
        <v>0</v>
      </c>
      <c r="I54" s="6">
        <v>1</v>
      </c>
      <c r="J54" s="6">
        <v>6</v>
      </c>
      <c r="K54" s="7" t="str">
        <f t="shared" si="2"/>
        <v>LF</v>
      </c>
      <c r="L54" t="b">
        <f t="shared" si="1"/>
        <v>0</v>
      </c>
    </row>
    <row r="55" spans="1:12" x14ac:dyDescent="0.2">
      <c r="A55" t="s">
        <v>534</v>
      </c>
      <c r="B55" s="6">
        <v>0</v>
      </c>
      <c r="C55" s="6">
        <v>0</v>
      </c>
      <c r="D55" s="6">
        <v>2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1</v>
      </c>
      <c r="K55" s="7" t="str">
        <f t="shared" si="2"/>
        <v>2B</v>
      </c>
      <c r="L55" t="b">
        <f t="shared" si="1"/>
        <v>0</v>
      </c>
    </row>
    <row r="56" spans="1:12" x14ac:dyDescent="0.2">
      <c r="A56" t="s">
        <v>75</v>
      </c>
      <c r="B56" s="6">
        <v>0</v>
      </c>
      <c r="C56" s="6">
        <v>0</v>
      </c>
      <c r="D56" s="6">
        <v>0</v>
      </c>
      <c r="E56" s="6">
        <v>0</v>
      </c>
      <c r="F56" s="6">
        <v>91</v>
      </c>
      <c r="G56" s="6">
        <v>0</v>
      </c>
      <c r="H56" s="6">
        <v>0</v>
      </c>
      <c r="I56" s="6">
        <v>0</v>
      </c>
      <c r="J56" s="6">
        <v>0</v>
      </c>
      <c r="K56" s="7" t="str">
        <f t="shared" si="2"/>
        <v>SS</v>
      </c>
      <c r="L56" t="b">
        <f t="shared" si="1"/>
        <v>0</v>
      </c>
    </row>
    <row r="57" spans="1:12" x14ac:dyDescent="0.2">
      <c r="A57" t="s">
        <v>53</v>
      </c>
      <c r="B57" s="6">
        <v>0</v>
      </c>
      <c r="C57" s="6">
        <v>3</v>
      </c>
      <c r="D57" s="6">
        <v>0</v>
      </c>
      <c r="E57" s="6">
        <v>88</v>
      </c>
      <c r="F57" s="6">
        <v>0</v>
      </c>
      <c r="G57" s="6">
        <v>0</v>
      </c>
      <c r="H57" s="6">
        <v>0</v>
      </c>
      <c r="I57" s="6">
        <v>0</v>
      </c>
      <c r="J57" s="6">
        <v>0</v>
      </c>
      <c r="K57" s="7" t="str">
        <f t="shared" si="2"/>
        <v>3B</v>
      </c>
      <c r="L57" t="b">
        <f t="shared" si="1"/>
        <v>0</v>
      </c>
    </row>
    <row r="58" spans="1:12" x14ac:dyDescent="0.2">
      <c r="A58" t="s">
        <v>170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54</v>
      </c>
      <c r="I58" s="6">
        <v>0</v>
      </c>
      <c r="J58" s="6">
        <v>0</v>
      </c>
      <c r="K58" s="7" t="str">
        <f t="shared" si="2"/>
        <v>CF</v>
      </c>
      <c r="L58" t="b">
        <f t="shared" si="1"/>
        <v>0</v>
      </c>
    </row>
    <row r="59" spans="1:12" x14ac:dyDescent="0.2">
      <c r="A59" t="s">
        <v>535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7</v>
      </c>
      <c r="H59" s="6">
        <v>1</v>
      </c>
      <c r="I59" s="6">
        <v>16</v>
      </c>
      <c r="J59" s="6">
        <v>3</v>
      </c>
      <c r="K59" s="7" t="str">
        <f t="shared" si="2"/>
        <v>RF</v>
      </c>
      <c r="L59" t="b">
        <f t="shared" si="1"/>
        <v>0</v>
      </c>
    </row>
    <row r="60" spans="1:12" x14ac:dyDescent="0.2">
      <c r="A60" t="s">
        <v>536</v>
      </c>
      <c r="B60" s="6">
        <v>0</v>
      </c>
      <c r="C60" s="6">
        <v>0</v>
      </c>
      <c r="D60" s="6">
        <v>0</v>
      </c>
      <c r="E60" s="6">
        <v>1</v>
      </c>
      <c r="F60" s="6">
        <v>0</v>
      </c>
      <c r="G60" s="6">
        <v>0</v>
      </c>
      <c r="H60" s="6">
        <v>0</v>
      </c>
      <c r="I60" s="6">
        <v>0</v>
      </c>
      <c r="J60" s="6">
        <v>0</v>
      </c>
      <c r="K60" s="7" t="str">
        <f t="shared" si="2"/>
        <v>3B</v>
      </c>
      <c r="L60" t="b">
        <f t="shared" si="1"/>
        <v>0</v>
      </c>
    </row>
    <row r="61" spans="1:12" x14ac:dyDescent="0.2">
      <c r="A61" t="s">
        <v>70</v>
      </c>
      <c r="B61" s="6">
        <v>0</v>
      </c>
      <c r="C61" s="6">
        <v>0</v>
      </c>
      <c r="D61" s="6">
        <v>0</v>
      </c>
      <c r="E61" s="6">
        <v>90</v>
      </c>
      <c r="F61" s="6">
        <v>0</v>
      </c>
      <c r="G61" s="6">
        <v>0</v>
      </c>
      <c r="H61" s="6">
        <v>0</v>
      </c>
      <c r="I61" s="6">
        <v>0</v>
      </c>
      <c r="J61" s="6">
        <v>5</v>
      </c>
      <c r="K61" s="7" t="str">
        <f t="shared" si="2"/>
        <v>3B</v>
      </c>
      <c r="L61" t="b">
        <f t="shared" si="1"/>
        <v>0</v>
      </c>
    </row>
    <row r="62" spans="1:12" x14ac:dyDescent="0.2">
      <c r="A62" t="s">
        <v>537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4</v>
      </c>
      <c r="H62" s="6">
        <v>0</v>
      </c>
      <c r="I62" s="6">
        <v>4</v>
      </c>
      <c r="J62" s="6">
        <v>1</v>
      </c>
      <c r="K62" s="7" t="str">
        <f t="shared" si="2"/>
        <v>LF</v>
      </c>
      <c r="L62" t="b">
        <f t="shared" si="1"/>
        <v>1</v>
      </c>
    </row>
    <row r="63" spans="1:12" x14ac:dyDescent="0.2">
      <c r="A63" t="s">
        <v>511</v>
      </c>
      <c r="B63" s="6">
        <v>0</v>
      </c>
      <c r="C63" s="6">
        <v>0</v>
      </c>
      <c r="D63" s="6">
        <v>15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7" t="str">
        <f t="shared" si="2"/>
        <v>2B</v>
      </c>
      <c r="L63" t="b">
        <f t="shared" si="1"/>
        <v>0</v>
      </c>
    </row>
    <row r="64" spans="1:12" x14ac:dyDescent="0.2">
      <c r="A64" t="s">
        <v>538</v>
      </c>
      <c r="B64" s="6">
        <v>0</v>
      </c>
      <c r="C64" s="6">
        <v>0</v>
      </c>
      <c r="D64" s="6">
        <v>0</v>
      </c>
      <c r="E64" s="6">
        <v>0</v>
      </c>
      <c r="F64" s="6">
        <v>7</v>
      </c>
      <c r="G64" s="6">
        <v>1</v>
      </c>
      <c r="H64" s="6">
        <v>0</v>
      </c>
      <c r="I64" s="6">
        <v>0</v>
      </c>
      <c r="J64" s="6">
        <v>0</v>
      </c>
      <c r="K64" s="7" t="str">
        <f t="shared" si="2"/>
        <v>SS</v>
      </c>
      <c r="L64" t="b">
        <f t="shared" si="1"/>
        <v>0</v>
      </c>
    </row>
    <row r="65" spans="1:12" x14ac:dyDescent="0.2">
      <c r="A65" t="s">
        <v>34</v>
      </c>
      <c r="B65" s="6">
        <v>0</v>
      </c>
      <c r="C65" s="6">
        <v>91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</v>
      </c>
      <c r="K65" s="7" t="str">
        <f t="shared" si="2"/>
        <v>1B</v>
      </c>
      <c r="L65" t="b">
        <f t="shared" si="1"/>
        <v>0</v>
      </c>
    </row>
    <row r="66" spans="1:12" x14ac:dyDescent="0.2">
      <c r="A66" t="s">
        <v>300</v>
      </c>
      <c r="B66" s="6">
        <v>0</v>
      </c>
      <c r="C66" s="6">
        <v>91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2</v>
      </c>
      <c r="K66" s="7" t="str">
        <f t="shared" si="2"/>
        <v>1B</v>
      </c>
      <c r="L66" t="b">
        <f t="shared" si="1"/>
        <v>0</v>
      </c>
    </row>
    <row r="67" spans="1:12" x14ac:dyDescent="0.2">
      <c r="A67" t="s">
        <v>324</v>
      </c>
      <c r="B67" s="6">
        <v>0</v>
      </c>
      <c r="C67" s="6">
        <v>95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7" t="str">
        <f t="shared" si="2"/>
        <v>1B</v>
      </c>
      <c r="L67" t="b">
        <f t="shared" ref="L67:L130" si="3">COUNTIF(B67:J67, MAX(B67:J67)) &gt; 1</f>
        <v>0</v>
      </c>
    </row>
    <row r="68" spans="1:12" x14ac:dyDescent="0.2">
      <c r="A68" t="s">
        <v>380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27</v>
      </c>
      <c r="I68" s="6">
        <v>73</v>
      </c>
      <c r="J68" s="6">
        <v>0</v>
      </c>
      <c r="K68" s="7" t="str">
        <f t="shared" si="2"/>
        <v>RF</v>
      </c>
      <c r="L68" t="b">
        <f t="shared" si="3"/>
        <v>0</v>
      </c>
    </row>
    <row r="69" spans="1:12" x14ac:dyDescent="0.2">
      <c r="A69" t="s">
        <v>10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56</v>
      </c>
      <c r="I69" s="6">
        <v>0</v>
      </c>
      <c r="J69" s="6">
        <v>19</v>
      </c>
      <c r="K69" s="7" t="str">
        <f t="shared" si="2"/>
        <v>CF</v>
      </c>
      <c r="L69" t="b">
        <f t="shared" si="3"/>
        <v>0</v>
      </c>
    </row>
    <row r="70" spans="1:12" x14ac:dyDescent="0.2">
      <c r="A70" t="s">
        <v>539</v>
      </c>
      <c r="B70" s="6">
        <v>0</v>
      </c>
      <c r="C70" s="6">
        <v>0</v>
      </c>
      <c r="D70" s="6">
        <v>9</v>
      </c>
      <c r="E70" s="6">
        <v>13</v>
      </c>
      <c r="F70" s="6">
        <v>55</v>
      </c>
      <c r="G70" s="6">
        <v>9</v>
      </c>
      <c r="H70" s="6">
        <v>2</v>
      </c>
      <c r="I70" s="6">
        <v>7</v>
      </c>
      <c r="J70" s="6">
        <v>1</v>
      </c>
      <c r="K70" s="7" t="str">
        <f t="shared" si="2"/>
        <v>SS</v>
      </c>
      <c r="L70" t="b">
        <f t="shared" si="3"/>
        <v>0</v>
      </c>
    </row>
    <row r="71" spans="1:12" x14ac:dyDescent="0.2">
      <c r="A71" t="s">
        <v>540</v>
      </c>
      <c r="B71" s="6">
        <v>0</v>
      </c>
      <c r="C71" s="6">
        <v>0</v>
      </c>
      <c r="D71" s="6">
        <v>1</v>
      </c>
      <c r="E71" s="6">
        <v>2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7" t="str">
        <f t="shared" si="2"/>
        <v>3B</v>
      </c>
      <c r="L71" t="b">
        <f t="shared" si="3"/>
        <v>0</v>
      </c>
    </row>
    <row r="72" spans="1:12" x14ac:dyDescent="0.2">
      <c r="A72" t="s">
        <v>302</v>
      </c>
      <c r="B72" s="6">
        <v>0</v>
      </c>
      <c r="C72" s="6">
        <v>22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64</v>
      </c>
      <c r="J72" s="6">
        <v>7</v>
      </c>
      <c r="K72" s="7" t="str">
        <f t="shared" si="2"/>
        <v>RF</v>
      </c>
      <c r="L72" t="b">
        <f t="shared" si="3"/>
        <v>0</v>
      </c>
    </row>
    <row r="73" spans="1:12" x14ac:dyDescent="0.2">
      <c r="A73" t="s">
        <v>323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70</v>
      </c>
      <c r="J73" s="6">
        <v>8</v>
      </c>
      <c r="K73" s="7" t="str">
        <f t="shared" si="2"/>
        <v>RF</v>
      </c>
      <c r="L73" t="b">
        <f t="shared" si="3"/>
        <v>0</v>
      </c>
    </row>
    <row r="74" spans="1:12" x14ac:dyDescent="0.2">
      <c r="A74" t="s">
        <v>222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29</v>
      </c>
      <c r="H74" s="6">
        <v>4</v>
      </c>
      <c r="I74" s="6">
        <v>11</v>
      </c>
      <c r="J74" s="6">
        <v>3</v>
      </c>
      <c r="K74" s="7" t="str">
        <f t="shared" ref="K74:K137" si="4">INDEX($B$1:$J$1, MATCH(MAX(B74:J74), B74:J74, 0))</f>
        <v>LF</v>
      </c>
      <c r="L74" t="b">
        <f t="shared" si="3"/>
        <v>0</v>
      </c>
    </row>
    <row r="75" spans="1:12" x14ac:dyDescent="0.2">
      <c r="A75" t="s">
        <v>415</v>
      </c>
      <c r="B75" s="6">
        <v>0</v>
      </c>
      <c r="C75" s="6">
        <v>4</v>
      </c>
      <c r="D75" s="6">
        <v>5</v>
      </c>
      <c r="E75" s="6">
        <v>5</v>
      </c>
      <c r="F75" s="6">
        <v>0</v>
      </c>
      <c r="G75" s="6">
        <v>7</v>
      </c>
      <c r="H75" s="6">
        <v>0</v>
      </c>
      <c r="I75" s="6">
        <v>9</v>
      </c>
      <c r="J75" s="6">
        <v>0</v>
      </c>
      <c r="K75" s="7" t="str">
        <f t="shared" si="4"/>
        <v>RF</v>
      </c>
      <c r="L75" t="b">
        <f t="shared" si="3"/>
        <v>0</v>
      </c>
    </row>
    <row r="76" spans="1:12" x14ac:dyDescent="0.2">
      <c r="A76" t="s">
        <v>541</v>
      </c>
      <c r="B76" s="6">
        <v>1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7" t="str">
        <f t="shared" si="4"/>
        <v>C</v>
      </c>
      <c r="L76" t="b">
        <f t="shared" si="3"/>
        <v>0</v>
      </c>
    </row>
    <row r="77" spans="1:12" x14ac:dyDescent="0.2">
      <c r="A77" t="s">
        <v>7</v>
      </c>
      <c r="B77" s="6">
        <v>0</v>
      </c>
      <c r="C77" s="6">
        <v>1</v>
      </c>
      <c r="D77" s="6">
        <v>0</v>
      </c>
      <c r="E77" s="6">
        <v>94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7" t="str">
        <f t="shared" si="4"/>
        <v>3B</v>
      </c>
      <c r="L77" t="b">
        <f t="shared" si="3"/>
        <v>0</v>
      </c>
    </row>
    <row r="78" spans="1:12" x14ac:dyDescent="0.2">
      <c r="A78" t="s">
        <v>163</v>
      </c>
      <c r="B78" s="6">
        <v>25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0</v>
      </c>
      <c r="K78" s="7" t="str">
        <f t="shared" si="4"/>
        <v>C</v>
      </c>
      <c r="L78" t="b">
        <f t="shared" si="3"/>
        <v>0</v>
      </c>
    </row>
    <row r="79" spans="1:12" x14ac:dyDescent="0.2">
      <c r="A79" t="s">
        <v>542</v>
      </c>
      <c r="B79" s="6">
        <v>0</v>
      </c>
      <c r="C79" s="6">
        <v>2</v>
      </c>
      <c r="D79" s="6">
        <v>0</v>
      </c>
      <c r="E79" s="6">
        <v>2</v>
      </c>
      <c r="F79" s="6">
        <v>0</v>
      </c>
      <c r="G79" s="6">
        <v>0</v>
      </c>
      <c r="H79" s="6">
        <v>0</v>
      </c>
      <c r="I79" s="6">
        <v>0</v>
      </c>
      <c r="J79" s="6">
        <v>1</v>
      </c>
      <c r="K79" s="7" t="str">
        <f t="shared" si="4"/>
        <v>1B</v>
      </c>
      <c r="L79" t="b">
        <f t="shared" si="3"/>
        <v>1</v>
      </c>
    </row>
    <row r="80" spans="1:12" x14ac:dyDescent="0.2">
      <c r="A80" t="s">
        <v>305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12</v>
      </c>
      <c r="J80" s="6">
        <v>65</v>
      </c>
      <c r="K80" s="7" t="str">
        <f t="shared" si="4"/>
        <v>DH</v>
      </c>
      <c r="L80" t="b">
        <f t="shared" si="3"/>
        <v>0</v>
      </c>
    </row>
    <row r="81" spans="1:12" x14ac:dyDescent="0.2">
      <c r="A81" t="s">
        <v>475</v>
      </c>
      <c r="B81" s="6">
        <v>52</v>
      </c>
      <c r="C81" s="6">
        <v>14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2</v>
      </c>
      <c r="K81" s="7" t="str">
        <f t="shared" si="4"/>
        <v>C</v>
      </c>
      <c r="L81" t="b">
        <f t="shared" si="3"/>
        <v>0</v>
      </c>
    </row>
    <row r="82" spans="1:12" x14ac:dyDescent="0.2">
      <c r="A82" t="s">
        <v>543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1</v>
      </c>
      <c r="H82" s="6">
        <v>0</v>
      </c>
      <c r="I82" s="6">
        <v>1</v>
      </c>
      <c r="J82" s="6">
        <v>1</v>
      </c>
      <c r="K82" s="7" t="str">
        <f t="shared" si="4"/>
        <v>LF</v>
      </c>
      <c r="L82" t="b">
        <f t="shared" si="3"/>
        <v>1</v>
      </c>
    </row>
    <row r="83" spans="1:12" x14ac:dyDescent="0.2">
      <c r="A83" t="s">
        <v>320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4</v>
      </c>
      <c r="H83" s="6">
        <v>0</v>
      </c>
      <c r="I83" s="6">
        <v>42</v>
      </c>
      <c r="J83" s="6">
        <v>26</v>
      </c>
      <c r="K83" s="7" t="str">
        <f t="shared" si="4"/>
        <v>RF</v>
      </c>
      <c r="L83" t="b">
        <f t="shared" si="3"/>
        <v>0</v>
      </c>
    </row>
    <row r="84" spans="1:12" x14ac:dyDescent="0.2">
      <c r="A84" t="s">
        <v>487</v>
      </c>
      <c r="B84" s="6">
        <v>0</v>
      </c>
      <c r="C84" s="6">
        <v>0</v>
      </c>
      <c r="D84" s="6">
        <v>0</v>
      </c>
      <c r="E84" s="6">
        <v>0</v>
      </c>
      <c r="F84" s="6">
        <v>2</v>
      </c>
      <c r="G84" s="6">
        <v>0</v>
      </c>
      <c r="H84" s="6">
        <v>30</v>
      </c>
      <c r="I84" s="6">
        <v>0</v>
      </c>
      <c r="J84" s="6">
        <v>0</v>
      </c>
      <c r="K84" s="7" t="str">
        <f t="shared" si="4"/>
        <v>CF</v>
      </c>
      <c r="L84" t="b">
        <f t="shared" si="3"/>
        <v>0</v>
      </c>
    </row>
    <row r="85" spans="1:12" x14ac:dyDescent="0.2">
      <c r="A85" t="s">
        <v>315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90</v>
      </c>
      <c r="J85" s="6">
        <v>3</v>
      </c>
      <c r="K85" s="7" t="str">
        <f t="shared" si="4"/>
        <v>RF</v>
      </c>
      <c r="L85" t="b">
        <f t="shared" si="3"/>
        <v>0</v>
      </c>
    </row>
    <row r="86" spans="1:12" x14ac:dyDescent="0.2">
      <c r="A86" t="s">
        <v>359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78</v>
      </c>
      <c r="I86" s="6">
        <v>0</v>
      </c>
      <c r="J86" s="6">
        <v>0</v>
      </c>
      <c r="K86" s="7" t="str">
        <f t="shared" si="4"/>
        <v>CF</v>
      </c>
      <c r="L86" t="b">
        <f t="shared" si="3"/>
        <v>0</v>
      </c>
    </row>
    <row r="87" spans="1:12" x14ac:dyDescent="0.2">
      <c r="A87" t="s">
        <v>156</v>
      </c>
      <c r="B87" s="6">
        <v>0</v>
      </c>
      <c r="C87" s="6">
        <v>3</v>
      </c>
      <c r="D87" s="6">
        <v>0</v>
      </c>
      <c r="E87" s="6">
        <v>0</v>
      </c>
      <c r="F87" s="6">
        <v>0</v>
      </c>
      <c r="G87" s="6">
        <v>4</v>
      </c>
      <c r="H87" s="6">
        <v>0</v>
      </c>
      <c r="I87" s="6">
        <v>19</v>
      </c>
      <c r="J87" s="6">
        <v>7</v>
      </c>
      <c r="K87" s="7" t="str">
        <f t="shared" si="4"/>
        <v>RF</v>
      </c>
      <c r="L87" t="b">
        <f t="shared" si="3"/>
        <v>0</v>
      </c>
    </row>
    <row r="88" spans="1:12" x14ac:dyDescent="0.2">
      <c r="A88" t="s">
        <v>473</v>
      </c>
      <c r="B88" s="6">
        <v>0</v>
      </c>
      <c r="C88" s="6">
        <v>10</v>
      </c>
      <c r="D88" s="6">
        <v>58</v>
      </c>
      <c r="E88" s="6">
        <v>25</v>
      </c>
      <c r="F88" s="6">
        <v>19</v>
      </c>
      <c r="G88" s="6">
        <v>7</v>
      </c>
      <c r="H88" s="6">
        <v>2</v>
      </c>
      <c r="I88" s="6">
        <v>0</v>
      </c>
      <c r="J88" s="6">
        <v>0</v>
      </c>
      <c r="K88" s="7" t="str">
        <f t="shared" si="4"/>
        <v>2B</v>
      </c>
      <c r="L88" t="b">
        <f t="shared" si="3"/>
        <v>0</v>
      </c>
    </row>
    <row r="89" spans="1:12" x14ac:dyDescent="0.2">
      <c r="A89" t="s">
        <v>544</v>
      </c>
      <c r="B89" s="6">
        <v>0</v>
      </c>
      <c r="C89" s="6">
        <v>0</v>
      </c>
      <c r="D89" s="6">
        <v>4</v>
      </c>
      <c r="E89" s="6">
        <v>0</v>
      </c>
      <c r="F89" s="6">
        <v>1</v>
      </c>
      <c r="G89" s="6">
        <v>0</v>
      </c>
      <c r="H89" s="6">
        <v>4</v>
      </c>
      <c r="I89" s="6">
        <v>0</v>
      </c>
      <c r="J89" s="6">
        <v>0</v>
      </c>
      <c r="K89" s="7" t="str">
        <f t="shared" si="4"/>
        <v>2B</v>
      </c>
      <c r="L89" t="b">
        <f t="shared" si="3"/>
        <v>1</v>
      </c>
    </row>
    <row r="90" spans="1:12" x14ac:dyDescent="0.2">
      <c r="A90" t="s">
        <v>545</v>
      </c>
      <c r="B90" s="6">
        <v>0</v>
      </c>
      <c r="C90" s="6">
        <v>26</v>
      </c>
      <c r="D90" s="6">
        <v>0</v>
      </c>
      <c r="E90" s="6">
        <v>2</v>
      </c>
      <c r="F90" s="6">
        <v>0</v>
      </c>
      <c r="G90" s="6">
        <v>0</v>
      </c>
      <c r="H90" s="6">
        <v>0</v>
      </c>
      <c r="I90" s="6">
        <v>0</v>
      </c>
      <c r="J90" s="6">
        <v>3</v>
      </c>
      <c r="K90" s="7" t="str">
        <f t="shared" si="4"/>
        <v>1B</v>
      </c>
      <c r="L90" t="b">
        <f t="shared" si="3"/>
        <v>0</v>
      </c>
    </row>
    <row r="91" spans="1:12" x14ac:dyDescent="0.2">
      <c r="A91" t="s">
        <v>96</v>
      </c>
      <c r="B91" s="6">
        <v>0</v>
      </c>
      <c r="C91" s="6">
        <v>0</v>
      </c>
      <c r="D91" s="6">
        <v>0</v>
      </c>
      <c r="E91" s="6">
        <v>82</v>
      </c>
      <c r="F91" s="6">
        <v>0</v>
      </c>
      <c r="G91" s="6">
        <v>0</v>
      </c>
      <c r="H91" s="6">
        <v>0</v>
      </c>
      <c r="I91" s="6">
        <v>0</v>
      </c>
      <c r="J91" s="6">
        <v>1</v>
      </c>
      <c r="K91" s="7" t="str">
        <f t="shared" si="4"/>
        <v>3B</v>
      </c>
      <c r="L91" t="b">
        <f t="shared" si="3"/>
        <v>0</v>
      </c>
    </row>
    <row r="92" spans="1:12" x14ac:dyDescent="0.2">
      <c r="A92" t="s">
        <v>546</v>
      </c>
      <c r="B92" s="6">
        <v>0</v>
      </c>
      <c r="C92" s="6">
        <v>0</v>
      </c>
      <c r="D92" s="6">
        <v>0</v>
      </c>
      <c r="E92" s="6">
        <v>0</v>
      </c>
      <c r="F92" s="6">
        <v>10</v>
      </c>
      <c r="G92" s="6">
        <v>0</v>
      </c>
      <c r="H92" s="6">
        <v>0</v>
      </c>
      <c r="I92" s="6">
        <v>0</v>
      </c>
      <c r="J92" s="6">
        <v>0</v>
      </c>
      <c r="K92" s="7" t="str">
        <f t="shared" si="4"/>
        <v>SS</v>
      </c>
      <c r="L92" t="b">
        <f t="shared" si="3"/>
        <v>0</v>
      </c>
    </row>
    <row r="93" spans="1:12" x14ac:dyDescent="0.2">
      <c r="A93" t="s">
        <v>547</v>
      </c>
      <c r="B93" s="6">
        <v>0</v>
      </c>
      <c r="C93" s="6">
        <v>0</v>
      </c>
      <c r="D93" s="6">
        <v>91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1</v>
      </c>
      <c r="K93" s="7" t="str">
        <f t="shared" si="4"/>
        <v>2B</v>
      </c>
      <c r="L93" t="b">
        <f t="shared" si="3"/>
        <v>0</v>
      </c>
    </row>
    <row r="94" spans="1:12" x14ac:dyDescent="0.2">
      <c r="A94" t="s">
        <v>45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59</v>
      </c>
      <c r="H94" s="6">
        <v>13</v>
      </c>
      <c r="I94" s="6">
        <v>1</v>
      </c>
      <c r="J94" s="6">
        <v>0</v>
      </c>
      <c r="K94" s="7" t="str">
        <f t="shared" si="4"/>
        <v>LF</v>
      </c>
      <c r="L94" t="b">
        <f t="shared" si="3"/>
        <v>0</v>
      </c>
    </row>
    <row r="95" spans="1:12" x14ac:dyDescent="0.2">
      <c r="A95" t="s">
        <v>348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36</v>
      </c>
      <c r="H95" s="6">
        <v>46</v>
      </c>
      <c r="I95" s="6">
        <v>3</v>
      </c>
      <c r="J95" s="6">
        <v>0</v>
      </c>
      <c r="K95" s="7" t="str">
        <f t="shared" si="4"/>
        <v>CF</v>
      </c>
      <c r="L95" t="b">
        <f t="shared" si="3"/>
        <v>0</v>
      </c>
    </row>
    <row r="96" spans="1:12" x14ac:dyDescent="0.2">
      <c r="A96" t="s">
        <v>271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22</v>
      </c>
      <c r="I96" s="6">
        <v>0</v>
      </c>
      <c r="J96" s="6">
        <v>0</v>
      </c>
      <c r="K96" s="7" t="str">
        <f t="shared" si="4"/>
        <v>CF</v>
      </c>
      <c r="L96" t="b">
        <f t="shared" si="3"/>
        <v>0</v>
      </c>
    </row>
    <row r="97" spans="1:12" x14ac:dyDescent="0.2">
      <c r="A97" t="s">
        <v>498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5</v>
      </c>
      <c r="H97" s="6">
        <v>1</v>
      </c>
      <c r="I97" s="6">
        <v>0</v>
      </c>
      <c r="J97" s="6">
        <v>0</v>
      </c>
      <c r="K97" s="7" t="str">
        <f t="shared" si="4"/>
        <v>LF</v>
      </c>
      <c r="L97" t="b">
        <f t="shared" si="3"/>
        <v>0</v>
      </c>
    </row>
    <row r="98" spans="1:12" x14ac:dyDescent="0.2">
      <c r="A98" t="s">
        <v>296</v>
      </c>
      <c r="B98" s="6">
        <v>0</v>
      </c>
      <c r="C98" s="6">
        <v>48</v>
      </c>
      <c r="D98" s="6">
        <v>19</v>
      </c>
      <c r="E98" s="6">
        <v>0</v>
      </c>
      <c r="F98" s="6">
        <v>0</v>
      </c>
      <c r="G98" s="6">
        <v>15</v>
      </c>
      <c r="H98" s="6">
        <v>8</v>
      </c>
      <c r="I98" s="6">
        <v>16</v>
      </c>
      <c r="J98" s="6">
        <v>0</v>
      </c>
      <c r="K98" s="7" t="str">
        <f t="shared" si="4"/>
        <v>1B</v>
      </c>
      <c r="L98" t="b">
        <f t="shared" si="3"/>
        <v>0</v>
      </c>
    </row>
    <row r="99" spans="1:12" x14ac:dyDescent="0.2">
      <c r="A99" t="s">
        <v>85</v>
      </c>
      <c r="B99" s="6">
        <v>0</v>
      </c>
      <c r="C99" s="6">
        <v>0</v>
      </c>
      <c r="D99" s="6">
        <v>79</v>
      </c>
      <c r="E99" s="6">
        <v>9</v>
      </c>
      <c r="F99" s="6">
        <v>21</v>
      </c>
      <c r="G99" s="6">
        <v>1</v>
      </c>
      <c r="H99" s="6">
        <v>0</v>
      </c>
      <c r="I99" s="6">
        <v>0</v>
      </c>
      <c r="J99" s="6">
        <v>0</v>
      </c>
      <c r="K99" s="7" t="str">
        <f t="shared" si="4"/>
        <v>2B</v>
      </c>
      <c r="L99" t="b">
        <f t="shared" si="3"/>
        <v>0</v>
      </c>
    </row>
    <row r="100" spans="1:12" x14ac:dyDescent="0.2">
      <c r="A100" t="s">
        <v>418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14</v>
      </c>
      <c r="H100" s="6">
        <v>4</v>
      </c>
      <c r="I100" s="6">
        <v>3</v>
      </c>
      <c r="J100" s="6">
        <v>1</v>
      </c>
      <c r="K100" s="7" t="str">
        <f t="shared" si="4"/>
        <v>LF</v>
      </c>
      <c r="L100" t="b">
        <f t="shared" si="3"/>
        <v>0</v>
      </c>
    </row>
    <row r="101" spans="1:12" x14ac:dyDescent="0.2">
      <c r="A101" t="s">
        <v>481</v>
      </c>
      <c r="B101" s="6">
        <v>0</v>
      </c>
      <c r="C101" s="6">
        <v>0</v>
      </c>
      <c r="D101" s="6">
        <v>3</v>
      </c>
      <c r="E101" s="6">
        <v>0</v>
      </c>
      <c r="F101" s="6">
        <v>0</v>
      </c>
      <c r="G101" s="6">
        <v>83</v>
      </c>
      <c r="H101" s="6">
        <v>0</v>
      </c>
      <c r="I101" s="6">
        <v>0</v>
      </c>
      <c r="J101" s="6">
        <v>2</v>
      </c>
      <c r="K101" s="7" t="str">
        <f t="shared" si="4"/>
        <v>LF</v>
      </c>
      <c r="L101" t="b">
        <f t="shared" si="3"/>
        <v>0</v>
      </c>
    </row>
    <row r="102" spans="1:12" x14ac:dyDescent="0.2">
      <c r="A102" t="s">
        <v>352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10</v>
      </c>
      <c r="H102" s="6">
        <v>0</v>
      </c>
      <c r="I102" s="6">
        <v>21</v>
      </c>
      <c r="J102" s="6">
        <v>21</v>
      </c>
      <c r="K102" s="7" t="str">
        <f t="shared" si="4"/>
        <v>RF</v>
      </c>
      <c r="L102" t="b">
        <f t="shared" si="3"/>
        <v>1</v>
      </c>
    </row>
    <row r="103" spans="1:12" x14ac:dyDescent="0.2">
      <c r="A103" t="s">
        <v>387</v>
      </c>
      <c r="B103" s="6">
        <v>0</v>
      </c>
      <c r="C103" s="6">
        <v>2</v>
      </c>
      <c r="D103" s="6">
        <v>0</v>
      </c>
      <c r="E103" s="6">
        <v>0</v>
      </c>
      <c r="F103" s="6">
        <v>0</v>
      </c>
      <c r="G103" s="6">
        <v>12</v>
      </c>
      <c r="H103" s="6">
        <v>0</v>
      </c>
      <c r="I103" s="6">
        <v>12</v>
      </c>
      <c r="J103" s="6">
        <v>5</v>
      </c>
      <c r="K103" s="7" t="str">
        <f t="shared" si="4"/>
        <v>LF</v>
      </c>
      <c r="L103" t="b">
        <f t="shared" si="3"/>
        <v>1</v>
      </c>
    </row>
    <row r="104" spans="1:12" x14ac:dyDescent="0.2">
      <c r="A104" t="s">
        <v>73</v>
      </c>
      <c r="B104" s="6">
        <v>77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11</v>
      </c>
      <c r="K104" s="7" t="str">
        <f t="shared" si="4"/>
        <v>C</v>
      </c>
      <c r="L104" t="b">
        <f t="shared" si="3"/>
        <v>0</v>
      </c>
    </row>
    <row r="105" spans="1:12" x14ac:dyDescent="0.2">
      <c r="A105" t="s">
        <v>20</v>
      </c>
      <c r="B105" s="6">
        <v>0</v>
      </c>
      <c r="C105" s="6">
        <v>87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7" t="str">
        <f t="shared" si="4"/>
        <v>1B</v>
      </c>
      <c r="L105" t="b">
        <f t="shared" si="3"/>
        <v>0</v>
      </c>
    </row>
    <row r="106" spans="1:12" x14ac:dyDescent="0.2">
      <c r="A106" t="s">
        <v>548</v>
      </c>
      <c r="B106" s="6">
        <v>0</v>
      </c>
      <c r="C106" s="6">
        <v>1</v>
      </c>
      <c r="D106" s="6">
        <v>0</v>
      </c>
      <c r="E106" s="6">
        <v>0</v>
      </c>
      <c r="F106" s="6">
        <v>0</v>
      </c>
      <c r="G106" s="6">
        <v>11</v>
      </c>
      <c r="H106" s="6">
        <v>26</v>
      </c>
      <c r="I106" s="6">
        <v>13</v>
      </c>
      <c r="J106" s="6">
        <v>1</v>
      </c>
      <c r="K106" s="7" t="str">
        <f t="shared" si="4"/>
        <v>CF</v>
      </c>
      <c r="L106" t="b">
        <f t="shared" si="3"/>
        <v>0</v>
      </c>
    </row>
    <row r="107" spans="1:12" x14ac:dyDescent="0.2">
      <c r="A107" t="s">
        <v>180</v>
      </c>
      <c r="B107" s="6">
        <v>0</v>
      </c>
      <c r="C107" s="6">
        <v>0</v>
      </c>
      <c r="D107" s="6">
        <v>0</v>
      </c>
      <c r="E107" s="6">
        <v>14</v>
      </c>
      <c r="F107" s="6">
        <v>23</v>
      </c>
      <c r="G107" s="6">
        <v>0</v>
      </c>
      <c r="H107" s="6">
        <v>0</v>
      </c>
      <c r="I107" s="6">
        <v>0</v>
      </c>
      <c r="J107" s="6">
        <v>0</v>
      </c>
      <c r="K107" s="7" t="str">
        <f t="shared" si="4"/>
        <v>SS</v>
      </c>
      <c r="L107" t="b">
        <f t="shared" si="3"/>
        <v>0</v>
      </c>
    </row>
    <row r="108" spans="1:12" x14ac:dyDescent="0.2">
      <c r="A108" t="s">
        <v>374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14</v>
      </c>
      <c r="H108" s="6">
        <v>0</v>
      </c>
      <c r="I108" s="6">
        <v>39</v>
      </c>
      <c r="J108" s="6">
        <v>17</v>
      </c>
      <c r="K108" s="7" t="str">
        <f t="shared" si="4"/>
        <v>RF</v>
      </c>
      <c r="L108" t="b">
        <f t="shared" si="3"/>
        <v>0</v>
      </c>
    </row>
    <row r="109" spans="1:12" x14ac:dyDescent="0.2">
      <c r="A109" t="s">
        <v>349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10</v>
      </c>
      <c r="H109" s="6">
        <v>41</v>
      </c>
      <c r="I109" s="6">
        <v>26</v>
      </c>
      <c r="J109" s="6">
        <v>1</v>
      </c>
      <c r="K109" s="7" t="str">
        <f t="shared" si="4"/>
        <v>CF</v>
      </c>
      <c r="L109" t="b">
        <f t="shared" si="3"/>
        <v>0</v>
      </c>
    </row>
    <row r="110" spans="1:12" x14ac:dyDescent="0.2">
      <c r="A110" t="s">
        <v>253</v>
      </c>
      <c r="B110" s="6">
        <v>0</v>
      </c>
      <c r="C110" s="6">
        <v>0</v>
      </c>
      <c r="D110" s="6">
        <v>2</v>
      </c>
      <c r="E110" s="6">
        <v>0</v>
      </c>
      <c r="F110" s="6">
        <v>0</v>
      </c>
      <c r="G110" s="6">
        <v>2</v>
      </c>
      <c r="H110" s="6">
        <v>19</v>
      </c>
      <c r="I110" s="6">
        <v>0</v>
      </c>
      <c r="J110" s="6">
        <v>0</v>
      </c>
      <c r="K110" s="7" t="str">
        <f t="shared" si="4"/>
        <v>CF</v>
      </c>
      <c r="L110" t="b">
        <f t="shared" si="3"/>
        <v>0</v>
      </c>
    </row>
    <row r="111" spans="1:12" x14ac:dyDescent="0.2">
      <c r="A111" t="s">
        <v>333</v>
      </c>
      <c r="B111" s="6">
        <v>0</v>
      </c>
      <c r="C111" s="6">
        <v>0</v>
      </c>
      <c r="D111" s="6">
        <v>0</v>
      </c>
      <c r="E111" s="6">
        <v>20</v>
      </c>
      <c r="F111" s="6">
        <v>56</v>
      </c>
      <c r="G111" s="6">
        <v>0</v>
      </c>
      <c r="H111" s="6">
        <v>0</v>
      </c>
      <c r="I111" s="6">
        <v>0</v>
      </c>
      <c r="J111" s="6">
        <v>1</v>
      </c>
      <c r="K111" s="7" t="str">
        <f t="shared" si="4"/>
        <v>SS</v>
      </c>
      <c r="L111" t="b">
        <f t="shared" si="3"/>
        <v>0</v>
      </c>
    </row>
    <row r="112" spans="1:12" x14ac:dyDescent="0.2">
      <c r="A112" t="s">
        <v>419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87</v>
      </c>
      <c r="I112" s="6">
        <v>0</v>
      </c>
      <c r="J112" s="6">
        <v>0</v>
      </c>
      <c r="K112" s="7" t="str">
        <f t="shared" si="4"/>
        <v>CF</v>
      </c>
      <c r="L112" t="b">
        <f t="shared" si="3"/>
        <v>0</v>
      </c>
    </row>
    <row r="113" spans="1:12" x14ac:dyDescent="0.2">
      <c r="A113" t="s">
        <v>118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5</v>
      </c>
      <c r="H113" s="6">
        <v>23</v>
      </c>
      <c r="I113" s="6">
        <v>29</v>
      </c>
      <c r="J113" s="6">
        <v>2</v>
      </c>
      <c r="K113" s="7" t="str">
        <f t="shared" si="4"/>
        <v>RF</v>
      </c>
      <c r="L113" t="b">
        <f t="shared" si="3"/>
        <v>0</v>
      </c>
    </row>
    <row r="114" spans="1:12" x14ac:dyDescent="0.2">
      <c r="A114" t="s">
        <v>408</v>
      </c>
      <c r="B114" s="6">
        <v>0</v>
      </c>
      <c r="C114" s="6">
        <v>2</v>
      </c>
      <c r="D114" s="6">
        <v>39</v>
      </c>
      <c r="E114" s="6">
        <v>1</v>
      </c>
      <c r="F114" s="6">
        <v>1</v>
      </c>
      <c r="G114" s="6">
        <v>0</v>
      </c>
      <c r="H114" s="6">
        <v>0</v>
      </c>
      <c r="I114" s="6">
        <v>0</v>
      </c>
      <c r="J114" s="6">
        <v>1</v>
      </c>
      <c r="K114" s="7" t="str">
        <f t="shared" si="4"/>
        <v>2B</v>
      </c>
      <c r="L114" t="b">
        <f t="shared" si="3"/>
        <v>0</v>
      </c>
    </row>
    <row r="115" spans="1:12" x14ac:dyDescent="0.2">
      <c r="A115" t="s">
        <v>431</v>
      </c>
      <c r="B115" s="6">
        <v>21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4</v>
      </c>
      <c r="K115" s="7" t="str">
        <f t="shared" si="4"/>
        <v>C</v>
      </c>
      <c r="L115" t="b">
        <f t="shared" si="3"/>
        <v>0</v>
      </c>
    </row>
    <row r="116" spans="1:12" x14ac:dyDescent="0.2">
      <c r="A116" t="s">
        <v>283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96</v>
      </c>
      <c r="I116" s="6">
        <v>0</v>
      </c>
      <c r="J116" s="6">
        <v>0</v>
      </c>
      <c r="K116" s="7" t="str">
        <f t="shared" si="4"/>
        <v>CF</v>
      </c>
      <c r="L116" t="b">
        <f t="shared" si="3"/>
        <v>0</v>
      </c>
    </row>
    <row r="117" spans="1:12" x14ac:dyDescent="0.2">
      <c r="A117" t="s">
        <v>311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57</v>
      </c>
      <c r="I117" s="6">
        <v>0</v>
      </c>
      <c r="J117" s="6">
        <v>5</v>
      </c>
      <c r="K117" s="7" t="str">
        <f t="shared" si="4"/>
        <v>CF</v>
      </c>
      <c r="L117" t="b">
        <f t="shared" si="3"/>
        <v>0</v>
      </c>
    </row>
    <row r="118" spans="1:12" x14ac:dyDescent="0.2">
      <c r="A118" t="s">
        <v>549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1</v>
      </c>
      <c r="H118" s="6">
        <v>0</v>
      </c>
      <c r="I118" s="6">
        <v>1</v>
      </c>
      <c r="J118" s="6">
        <v>0</v>
      </c>
      <c r="K118" s="7" t="str">
        <f t="shared" si="4"/>
        <v>LF</v>
      </c>
      <c r="L118" t="b">
        <f t="shared" si="3"/>
        <v>1</v>
      </c>
    </row>
    <row r="119" spans="1:12" x14ac:dyDescent="0.2">
      <c r="A119" t="s">
        <v>248</v>
      </c>
      <c r="B119" s="6">
        <v>14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7" t="str">
        <f t="shared" si="4"/>
        <v>C</v>
      </c>
      <c r="L119" t="b">
        <f t="shared" si="3"/>
        <v>0</v>
      </c>
    </row>
    <row r="120" spans="1:12" x14ac:dyDescent="0.2">
      <c r="A120" t="s">
        <v>93</v>
      </c>
      <c r="B120" s="6">
        <v>59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1</v>
      </c>
      <c r="K120" s="7" t="str">
        <f t="shared" si="4"/>
        <v>C</v>
      </c>
      <c r="L120" t="b">
        <f t="shared" si="3"/>
        <v>0</v>
      </c>
    </row>
    <row r="121" spans="1:12" x14ac:dyDescent="0.2">
      <c r="A121" t="s">
        <v>462</v>
      </c>
      <c r="B121" s="6">
        <v>0</v>
      </c>
      <c r="C121" s="6">
        <v>0</v>
      </c>
      <c r="D121" s="6">
        <v>0</v>
      </c>
      <c r="E121" s="6">
        <v>0</v>
      </c>
      <c r="F121" s="6">
        <v>73</v>
      </c>
      <c r="G121" s="6">
        <v>0</v>
      </c>
      <c r="H121" s="6">
        <v>0</v>
      </c>
      <c r="I121" s="6">
        <v>0</v>
      </c>
      <c r="J121" s="6">
        <v>3</v>
      </c>
      <c r="K121" s="7" t="str">
        <f t="shared" si="4"/>
        <v>SS</v>
      </c>
      <c r="L121" t="b">
        <f t="shared" si="3"/>
        <v>0</v>
      </c>
    </row>
    <row r="122" spans="1:12" x14ac:dyDescent="0.2">
      <c r="A122" t="s">
        <v>550</v>
      </c>
      <c r="B122" s="6">
        <v>0</v>
      </c>
      <c r="C122" s="6">
        <v>2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7" t="str">
        <f t="shared" si="4"/>
        <v>1B</v>
      </c>
      <c r="L122" t="b">
        <f t="shared" si="3"/>
        <v>0</v>
      </c>
    </row>
    <row r="123" spans="1:12" x14ac:dyDescent="0.2">
      <c r="A123" t="s">
        <v>551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3</v>
      </c>
      <c r="I123" s="6">
        <v>7</v>
      </c>
      <c r="J123" s="6">
        <v>0</v>
      </c>
      <c r="K123" s="7" t="str">
        <f t="shared" si="4"/>
        <v>RF</v>
      </c>
      <c r="L123" t="b">
        <f t="shared" si="3"/>
        <v>0</v>
      </c>
    </row>
    <row r="124" spans="1:12" x14ac:dyDescent="0.2">
      <c r="A124" t="s">
        <v>383</v>
      </c>
      <c r="B124" s="6">
        <v>19</v>
      </c>
      <c r="C124" s="6">
        <v>3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26</v>
      </c>
      <c r="K124" s="7" t="str">
        <f t="shared" si="4"/>
        <v>DH</v>
      </c>
      <c r="L124" t="b">
        <f t="shared" si="3"/>
        <v>0</v>
      </c>
    </row>
    <row r="125" spans="1:12" x14ac:dyDescent="0.2">
      <c r="A125" t="s">
        <v>329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46</v>
      </c>
      <c r="J125" s="6">
        <v>32</v>
      </c>
      <c r="K125" s="7" t="str">
        <f t="shared" si="4"/>
        <v>RF</v>
      </c>
      <c r="L125" t="b">
        <f t="shared" si="3"/>
        <v>0</v>
      </c>
    </row>
    <row r="126" spans="1:12" x14ac:dyDescent="0.2">
      <c r="A126" t="s">
        <v>552</v>
      </c>
      <c r="B126" s="6">
        <v>0</v>
      </c>
      <c r="C126" s="6">
        <v>0</v>
      </c>
      <c r="D126" s="6">
        <v>6</v>
      </c>
      <c r="E126" s="6">
        <v>6</v>
      </c>
      <c r="F126" s="6">
        <v>5</v>
      </c>
      <c r="G126" s="6">
        <v>0</v>
      </c>
      <c r="H126" s="6">
        <v>0</v>
      </c>
      <c r="I126" s="6">
        <v>0</v>
      </c>
      <c r="J126" s="6">
        <v>0</v>
      </c>
      <c r="K126" s="7" t="str">
        <f t="shared" si="4"/>
        <v>2B</v>
      </c>
      <c r="L126" t="b">
        <f t="shared" si="3"/>
        <v>1</v>
      </c>
    </row>
    <row r="127" spans="1:12" x14ac:dyDescent="0.2">
      <c r="A127" t="s">
        <v>553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2</v>
      </c>
      <c r="H127" s="6">
        <v>18</v>
      </c>
      <c r="I127" s="6">
        <v>37</v>
      </c>
      <c r="J127" s="6">
        <v>2</v>
      </c>
      <c r="K127" s="7" t="str">
        <f t="shared" si="4"/>
        <v>RF</v>
      </c>
      <c r="L127" t="b">
        <f t="shared" si="3"/>
        <v>0</v>
      </c>
    </row>
    <row r="128" spans="1:12" x14ac:dyDescent="0.2">
      <c r="A128" t="s">
        <v>291</v>
      </c>
      <c r="B128" s="6">
        <v>0</v>
      </c>
      <c r="C128" s="6">
        <v>68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27</v>
      </c>
      <c r="K128" s="7" t="str">
        <f t="shared" si="4"/>
        <v>1B</v>
      </c>
      <c r="L128" t="b">
        <f t="shared" si="3"/>
        <v>0</v>
      </c>
    </row>
    <row r="129" spans="1:12" x14ac:dyDescent="0.2">
      <c r="A129" t="s">
        <v>238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22</v>
      </c>
      <c r="H129" s="6">
        <v>0</v>
      </c>
      <c r="I129" s="6">
        <v>0</v>
      </c>
      <c r="J129" s="6">
        <v>1</v>
      </c>
      <c r="K129" s="7" t="str">
        <f t="shared" si="4"/>
        <v>LF</v>
      </c>
      <c r="L129" t="b">
        <f t="shared" si="3"/>
        <v>0</v>
      </c>
    </row>
    <row r="130" spans="1:12" x14ac:dyDescent="0.2">
      <c r="A130" t="s">
        <v>554</v>
      </c>
      <c r="B130" s="6">
        <v>35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3</v>
      </c>
      <c r="K130" s="7" t="str">
        <f t="shared" si="4"/>
        <v>C</v>
      </c>
      <c r="L130" t="b">
        <f t="shared" si="3"/>
        <v>0</v>
      </c>
    </row>
    <row r="131" spans="1:12" x14ac:dyDescent="0.2">
      <c r="A131" t="s">
        <v>120</v>
      </c>
      <c r="B131" s="6">
        <v>39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5</v>
      </c>
      <c r="K131" s="7" t="str">
        <f t="shared" si="4"/>
        <v>C</v>
      </c>
      <c r="L131" t="b">
        <f t="shared" ref="L131:L194" si="5">COUNTIF(B131:J131, MAX(B131:J131)) &gt; 1</f>
        <v>0</v>
      </c>
    </row>
    <row r="132" spans="1:12" x14ac:dyDescent="0.2">
      <c r="A132" t="s">
        <v>555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90</v>
      </c>
      <c r="K132" s="7" t="str">
        <f t="shared" si="4"/>
        <v>DH</v>
      </c>
      <c r="L132" t="b">
        <f t="shared" si="5"/>
        <v>0</v>
      </c>
    </row>
    <row r="133" spans="1:12" x14ac:dyDescent="0.2">
      <c r="A133" t="s">
        <v>27</v>
      </c>
      <c r="B133" s="6">
        <v>69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18</v>
      </c>
      <c r="K133" s="7" t="str">
        <f t="shared" si="4"/>
        <v>C</v>
      </c>
      <c r="L133" t="b">
        <f t="shared" si="5"/>
        <v>0</v>
      </c>
    </row>
    <row r="134" spans="1:12" x14ac:dyDescent="0.2">
      <c r="A134" t="s">
        <v>556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2</v>
      </c>
      <c r="H134" s="6">
        <v>0</v>
      </c>
      <c r="I134" s="6">
        <v>25</v>
      </c>
      <c r="J134" s="6">
        <v>9</v>
      </c>
      <c r="K134" s="7" t="str">
        <f t="shared" si="4"/>
        <v>RF</v>
      </c>
      <c r="L134" t="b">
        <f t="shared" si="5"/>
        <v>0</v>
      </c>
    </row>
    <row r="135" spans="1:12" x14ac:dyDescent="0.2">
      <c r="A135" t="s">
        <v>413</v>
      </c>
      <c r="B135" s="6">
        <v>0</v>
      </c>
      <c r="C135" s="6">
        <v>0</v>
      </c>
      <c r="D135" s="6">
        <v>0</v>
      </c>
      <c r="E135" s="6">
        <v>24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7" t="str">
        <f t="shared" si="4"/>
        <v>3B</v>
      </c>
      <c r="L135" t="b">
        <f t="shared" si="5"/>
        <v>0</v>
      </c>
    </row>
    <row r="136" spans="1:12" x14ac:dyDescent="0.2">
      <c r="A136" t="s">
        <v>226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41</v>
      </c>
      <c r="I136" s="6">
        <v>0</v>
      </c>
      <c r="J136" s="6">
        <v>0</v>
      </c>
      <c r="K136" s="7" t="str">
        <f t="shared" si="4"/>
        <v>CF</v>
      </c>
      <c r="L136" t="b">
        <f t="shared" si="5"/>
        <v>0</v>
      </c>
    </row>
    <row r="137" spans="1:12" x14ac:dyDescent="0.2">
      <c r="A137" t="s">
        <v>557</v>
      </c>
      <c r="B137" s="6">
        <v>0</v>
      </c>
      <c r="C137" s="6">
        <v>0</v>
      </c>
      <c r="D137" s="6">
        <v>0</v>
      </c>
      <c r="E137" s="6">
        <v>4</v>
      </c>
      <c r="F137" s="6">
        <v>37</v>
      </c>
      <c r="G137" s="6">
        <v>50</v>
      </c>
      <c r="H137" s="6">
        <v>13</v>
      </c>
      <c r="I137" s="6">
        <v>0</v>
      </c>
      <c r="J137" s="6">
        <v>1</v>
      </c>
      <c r="K137" s="7" t="str">
        <f t="shared" si="4"/>
        <v>LF</v>
      </c>
      <c r="L137" t="b">
        <f t="shared" si="5"/>
        <v>0</v>
      </c>
    </row>
    <row r="138" spans="1:12" x14ac:dyDescent="0.2">
      <c r="A138" t="s">
        <v>197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3</v>
      </c>
      <c r="H138" s="6">
        <v>22</v>
      </c>
      <c r="I138" s="6">
        <v>16</v>
      </c>
      <c r="J138" s="6">
        <v>2</v>
      </c>
      <c r="K138" s="7" t="str">
        <f t="shared" ref="K138:K201" si="6">INDEX($B$1:$J$1, MATCH(MAX(B138:J138), B138:J138, 0))</f>
        <v>CF</v>
      </c>
      <c r="L138" t="b">
        <f t="shared" si="5"/>
        <v>0</v>
      </c>
    </row>
    <row r="139" spans="1:12" x14ac:dyDescent="0.2">
      <c r="A139" t="s">
        <v>558</v>
      </c>
      <c r="B139" s="6">
        <v>0</v>
      </c>
      <c r="C139" s="6">
        <v>0</v>
      </c>
      <c r="D139" s="6">
        <v>0</v>
      </c>
      <c r="E139" s="6">
        <v>3</v>
      </c>
      <c r="F139" s="6">
        <v>4</v>
      </c>
      <c r="G139" s="6">
        <v>0</v>
      </c>
      <c r="H139" s="6">
        <v>0</v>
      </c>
      <c r="I139" s="6">
        <v>0</v>
      </c>
      <c r="J139" s="6">
        <v>2</v>
      </c>
      <c r="K139" s="7" t="str">
        <f t="shared" si="6"/>
        <v>SS</v>
      </c>
      <c r="L139" t="b">
        <f t="shared" si="5"/>
        <v>0</v>
      </c>
    </row>
    <row r="140" spans="1:12" x14ac:dyDescent="0.2">
      <c r="A140" t="s">
        <v>559</v>
      </c>
      <c r="B140" s="6">
        <v>0</v>
      </c>
      <c r="C140" s="6">
        <v>1</v>
      </c>
      <c r="D140" s="6">
        <v>23</v>
      </c>
      <c r="E140" s="6">
        <v>15</v>
      </c>
      <c r="F140" s="6">
        <v>36</v>
      </c>
      <c r="G140" s="6">
        <v>18</v>
      </c>
      <c r="H140" s="6">
        <v>1</v>
      </c>
      <c r="I140" s="6">
        <v>12</v>
      </c>
      <c r="J140" s="6">
        <v>0</v>
      </c>
      <c r="K140" s="7" t="str">
        <f t="shared" si="6"/>
        <v>SS</v>
      </c>
      <c r="L140" t="b">
        <f t="shared" si="5"/>
        <v>0</v>
      </c>
    </row>
    <row r="141" spans="1:12" x14ac:dyDescent="0.2">
      <c r="A141" t="s">
        <v>316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74</v>
      </c>
      <c r="H141" s="6">
        <v>8</v>
      </c>
      <c r="I141" s="6">
        <v>0</v>
      </c>
      <c r="J141" s="6">
        <v>8</v>
      </c>
      <c r="K141" s="7" t="str">
        <f t="shared" si="6"/>
        <v>LF</v>
      </c>
      <c r="L141" t="b">
        <f t="shared" si="5"/>
        <v>0</v>
      </c>
    </row>
    <row r="142" spans="1:12" x14ac:dyDescent="0.2">
      <c r="A142" t="s">
        <v>560</v>
      </c>
      <c r="B142" s="6">
        <v>35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7" t="str">
        <f t="shared" si="6"/>
        <v>C</v>
      </c>
      <c r="L142" t="b">
        <f t="shared" si="5"/>
        <v>0</v>
      </c>
    </row>
    <row r="143" spans="1:12" x14ac:dyDescent="0.2">
      <c r="A143" t="s">
        <v>78</v>
      </c>
      <c r="B143" s="6">
        <v>0</v>
      </c>
      <c r="C143" s="6">
        <v>0</v>
      </c>
      <c r="D143" s="6">
        <v>0</v>
      </c>
      <c r="E143" s="6">
        <v>86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7" t="str">
        <f t="shared" si="6"/>
        <v>3B</v>
      </c>
      <c r="L143" t="b">
        <f t="shared" si="5"/>
        <v>0</v>
      </c>
    </row>
    <row r="144" spans="1:12" x14ac:dyDescent="0.2">
      <c r="A144" t="s">
        <v>249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6</v>
      </c>
      <c r="H144" s="6">
        <v>1</v>
      </c>
      <c r="I144" s="6">
        <v>2</v>
      </c>
      <c r="J144" s="6">
        <v>4</v>
      </c>
      <c r="K144" s="7" t="str">
        <f t="shared" si="6"/>
        <v>LF</v>
      </c>
      <c r="L144" t="b">
        <f t="shared" si="5"/>
        <v>0</v>
      </c>
    </row>
    <row r="145" spans="1:12" x14ac:dyDescent="0.2">
      <c r="A145" t="s">
        <v>503</v>
      </c>
      <c r="B145" s="6">
        <v>0</v>
      </c>
      <c r="C145" s="6">
        <v>0</v>
      </c>
      <c r="D145" s="6">
        <v>8</v>
      </c>
      <c r="E145" s="6">
        <v>5</v>
      </c>
      <c r="F145" s="6">
        <v>0</v>
      </c>
      <c r="G145" s="6">
        <v>10</v>
      </c>
      <c r="H145" s="6">
        <v>1</v>
      </c>
      <c r="I145" s="6">
        <v>0</v>
      </c>
      <c r="J145" s="6">
        <v>1</v>
      </c>
      <c r="K145" s="7" t="str">
        <f t="shared" si="6"/>
        <v>LF</v>
      </c>
      <c r="L145" t="b">
        <f t="shared" si="5"/>
        <v>0</v>
      </c>
    </row>
    <row r="146" spans="1:12" x14ac:dyDescent="0.2">
      <c r="A146" t="s">
        <v>479</v>
      </c>
      <c r="B146" s="6">
        <v>0</v>
      </c>
      <c r="C146" s="6">
        <v>0</v>
      </c>
      <c r="D146" s="6">
        <v>94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2</v>
      </c>
      <c r="K146" s="7" t="str">
        <f t="shared" si="6"/>
        <v>2B</v>
      </c>
      <c r="L146" t="b">
        <f t="shared" si="5"/>
        <v>0</v>
      </c>
    </row>
    <row r="147" spans="1:12" x14ac:dyDescent="0.2">
      <c r="A147" t="s">
        <v>350</v>
      </c>
      <c r="B147" s="6">
        <v>0</v>
      </c>
      <c r="C147" s="6">
        <v>15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39</v>
      </c>
      <c r="K147" s="7" t="str">
        <f t="shared" si="6"/>
        <v>DH</v>
      </c>
      <c r="L147" t="b">
        <f t="shared" si="5"/>
        <v>0</v>
      </c>
    </row>
    <row r="148" spans="1:12" x14ac:dyDescent="0.2">
      <c r="A148" t="s">
        <v>365</v>
      </c>
      <c r="B148" s="6">
        <v>0</v>
      </c>
      <c r="C148" s="6">
        <v>0</v>
      </c>
      <c r="D148" s="6">
        <v>0</v>
      </c>
      <c r="E148" s="6">
        <v>15</v>
      </c>
      <c r="F148" s="6">
        <v>30</v>
      </c>
      <c r="G148" s="6">
        <v>0</v>
      </c>
      <c r="H148" s="6">
        <v>0</v>
      </c>
      <c r="I148" s="6">
        <v>0</v>
      </c>
      <c r="J148" s="6">
        <v>1</v>
      </c>
      <c r="K148" s="7" t="str">
        <f t="shared" si="6"/>
        <v>SS</v>
      </c>
      <c r="L148" t="b">
        <f t="shared" si="5"/>
        <v>0</v>
      </c>
    </row>
    <row r="149" spans="1:12" x14ac:dyDescent="0.2">
      <c r="A149" t="s">
        <v>561</v>
      </c>
      <c r="B149" s="6">
        <v>0</v>
      </c>
      <c r="C149" s="6">
        <v>2</v>
      </c>
      <c r="D149" s="6">
        <v>0</v>
      </c>
      <c r="E149" s="6">
        <v>0</v>
      </c>
      <c r="F149" s="6">
        <v>0</v>
      </c>
      <c r="G149" s="6">
        <v>1</v>
      </c>
      <c r="H149" s="6">
        <v>0</v>
      </c>
      <c r="I149" s="6">
        <v>8</v>
      </c>
      <c r="J149" s="6">
        <v>2</v>
      </c>
      <c r="K149" s="7" t="str">
        <f t="shared" si="6"/>
        <v>RF</v>
      </c>
      <c r="L149" t="b">
        <f t="shared" si="5"/>
        <v>0</v>
      </c>
    </row>
    <row r="150" spans="1:12" x14ac:dyDescent="0.2">
      <c r="A150" t="s">
        <v>457</v>
      </c>
      <c r="B150" s="6">
        <v>31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7" t="str">
        <f t="shared" si="6"/>
        <v>C</v>
      </c>
      <c r="L150" t="b">
        <f t="shared" si="5"/>
        <v>0</v>
      </c>
    </row>
    <row r="151" spans="1:12" x14ac:dyDescent="0.2">
      <c r="A151" t="s">
        <v>239</v>
      </c>
      <c r="B151" s="6">
        <v>0</v>
      </c>
      <c r="C151" s="6">
        <v>3</v>
      </c>
      <c r="D151" s="6">
        <v>13</v>
      </c>
      <c r="E151" s="6">
        <v>17</v>
      </c>
      <c r="F151" s="6">
        <v>0</v>
      </c>
      <c r="G151" s="6">
        <v>0</v>
      </c>
      <c r="H151" s="6">
        <v>0</v>
      </c>
      <c r="I151" s="6">
        <v>0</v>
      </c>
      <c r="J151" s="6">
        <v>2</v>
      </c>
      <c r="K151" s="7" t="str">
        <f t="shared" si="6"/>
        <v>3B</v>
      </c>
      <c r="L151" t="b">
        <f t="shared" si="5"/>
        <v>0</v>
      </c>
    </row>
    <row r="152" spans="1:12" x14ac:dyDescent="0.2">
      <c r="A152" t="s">
        <v>363</v>
      </c>
      <c r="B152" s="6">
        <v>0</v>
      </c>
      <c r="C152" s="6">
        <v>0</v>
      </c>
      <c r="D152" s="6">
        <v>3</v>
      </c>
      <c r="E152" s="6">
        <v>0</v>
      </c>
      <c r="F152" s="6">
        <v>0</v>
      </c>
      <c r="G152" s="6">
        <v>0</v>
      </c>
      <c r="H152" s="6">
        <v>56</v>
      </c>
      <c r="I152" s="6">
        <v>0</v>
      </c>
      <c r="J152" s="6">
        <v>1</v>
      </c>
      <c r="K152" s="7" t="str">
        <f t="shared" si="6"/>
        <v>CF</v>
      </c>
      <c r="L152" t="b">
        <f t="shared" si="5"/>
        <v>0</v>
      </c>
    </row>
    <row r="153" spans="1:12" x14ac:dyDescent="0.2">
      <c r="A153" t="s">
        <v>562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1</v>
      </c>
      <c r="H153" s="6">
        <v>8</v>
      </c>
      <c r="I153" s="6">
        <v>4</v>
      </c>
      <c r="J153" s="6">
        <v>1</v>
      </c>
      <c r="K153" s="7" t="str">
        <f t="shared" si="6"/>
        <v>CF</v>
      </c>
      <c r="L153" t="b">
        <f t="shared" si="5"/>
        <v>0</v>
      </c>
    </row>
    <row r="154" spans="1:12" x14ac:dyDescent="0.2">
      <c r="A154" t="s">
        <v>563</v>
      </c>
      <c r="B154" s="6">
        <v>0</v>
      </c>
      <c r="C154" s="6">
        <v>0</v>
      </c>
      <c r="D154" s="6">
        <v>1</v>
      </c>
      <c r="E154" s="6">
        <v>2</v>
      </c>
      <c r="F154" s="6">
        <v>1</v>
      </c>
      <c r="G154" s="6">
        <v>0</v>
      </c>
      <c r="H154" s="6">
        <v>0</v>
      </c>
      <c r="I154" s="6">
        <v>0</v>
      </c>
      <c r="J154" s="6">
        <v>4</v>
      </c>
      <c r="K154" s="7" t="str">
        <f t="shared" si="6"/>
        <v>DH</v>
      </c>
      <c r="L154" t="b">
        <f t="shared" si="5"/>
        <v>0</v>
      </c>
    </row>
    <row r="155" spans="1:12" x14ac:dyDescent="0.2">
      <c r="A155" t="s">
        <v>564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3</v>
      </c>
      <c r="H155" s="6">
        <v>5</v>
      </c>
      <c r="I155" s="6">
        <v>2</v>
      </c>
      <c r="J155" s="6">
        <v>1</v>
      </c>
      <c r="K155" s="7" t="str">
        <f t="shared" si="6"/>
        <v>CF</v>
      </c>
      <c r="L155" t="b">
        <f t="shared" si="5"/>
        <v>0</v>
      </c>
    </row>
    <row r="156" spans="1:12" x14ac:dyDescent="0.2">
      <c r="A156" t="s">
        <v>423</v>
      </c>
      <c r="B156" s="6">
        <v>51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1</v>
      </c>
      <c r="K156" s="7" t="str">
        <f t="shared" si="6"/>
        <v>C</v>
      </c>
      <c r="L156" t="b">
        <f t="shared" si="5"/>
        <v>0</v>
      </c>
    </row>
    <row r="157" spans="1:12" x14ac:dyDescent="0.2">
      <c r="A157" t="s">
        <v>174</v>
      </c>
      <c r="B157" s="6">
        <v>58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7" t="str">
        <f t="shared" si="6"/>
        <v>C</v>
      </c>
      <c r="L157" t="b">
        <f t="shared" si="5"/>
        <v>0</v>
      </c>
    </row>
    <row r="158" spans="1:12" x14ac:dyDescent="0.2">
      <c r="A158" t="s">
        <v>565</v>
      </c>
      <c r="B158" s="6">
        <v>0</v>
      </c>
      <c r="C158" s="6">
        <v>1</v>
      </c>
      <c r="D158" s="6">
        <v>4</v>
      </c>
      <c r="E158" s="6">
        <v>18</v>
      </c>
      <c r="F158" s="6">
        <v>3</v>
      </c>
      <c r="G158" s="6">
        <v>21</v>
      </c>
      <c r="H158" s="6">
        <v>12</v>
      </c>
      <c r="I158" s="6">
        <v>2</v>
      </c>
      <c r="J158" s="6">
        <v>1</v>
      </c>
      <c r="K158" s="7" t="str">
        <f t="shared" si="6"/>
        <v>LF</v>
      </c>
      <c r="L158" t="b">
        <f t="shared" si="5"/>
        <v>0</v>
      </c>
    </row>
    <row r="159" spans="1:12" x14ac:dyDescent="0.2">
      <c r="A159" t="s">
        <v>566</v>
      </c>
      <c r="B159" s="6">
        <v>0</v>
      </c>
      <c r="C159" s="6">
        <v>17</v>
      </c>
      <c r="D159" s="6">
        <v>0</v>
      </c>
      <c r="E159" s="6">
        <v>12</v>
      </c>
      <c r="F159" s="6">
        <v>5</v>
      </c>
      <c r="G159" s="6">
        <v>0</v>
      </c>
      <c r="H159" s="6">
        <v>0</v>
      </c>
      <c r="I159" s="6">
        <v>0</v>
      </c>
      <c r="J159" s="6">
        <v>19</v>
      </c>
      <c r="K159" s="7" t="str">
        <f t="shared" si="6"/>
        <v>DH</v>
      </c>
      <c r="L159" t="b">
        <f t="shared" si="5"/>
        <v>0</v>
      </c>
    </row>
    <row r="160" spans="1:12" x14ac:dyDescent="0.2">
      <c r="A160" t="s">
        <v>258</v>
      </c>
      <c r="B160" s="6">
        <v>4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7" t="str">
        <f t="shared" si="6"/>
        <v>C</v>
      </c>
      <c r="L160" t="b">
        <f t="shared" si="5"/>
        <v>0</v>
      </c>
    </row>
    <row r="161" spans="1:12" x14ac:dyDescent="0.2">
      <c r="A161" t="s">
        <v>191</v>
      </c>
      <c r="B161" s="6">
        <v>69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2</v>
      </c>
      <c r="K161" s="7" t="str">
        <f t="shared" si="6"/>
        <v>C</v>
      </c>
      <c r="L161" t="b">
        <f t="shared" si="5"/>
        <v>0</v>
      </c>
    </row>
    <row r="162" spans="1:12" x14ac:dyDescent="0.2">
      <c r="A162" t="s">
        <v>110</v>
      </c>
      <c r="B162" s="6">
        <v>0</v>
      </c>
      <c r="C162" s="6">
        <v>4</v>
      </c>
      <c r="D162" s="6">
        <v>30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8</v>
      </c>
      <c r="K162" s="7" t="str">
        <f t="shared" si="6"/>
        <v>2B</v>
      </c>
      <c r="L162" t="b">
        <f t="shared" si="5"/>
        <v>0</v>
      </c>
    </row>
    <row r="163" spans="1:12" x14ac:dyDescent="0.2">
      <c r="A163" t="s">
        <v>426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27</v>
      </c>
      <c r="J163" s="6">
        <v>1</v>
      </c>
      <c r="K163" s="7" t="str">
        <f t="shared" si="6"/>
        <v>RF</v>
      </c>
      <c r="L163" t="b">
        <f t="shared" si="5"/>
        <v>0</v>
      </c>
    </row>
    <row r="164" spans="1:12" x14ac:dyDescent="0.2">
      <c r="A164" t="s">
        <v>61</v>
      </c>
      <c r="B164" s="6">
        <v>0</v>
      </c>
      <c r="C164" s="6">
        <v>65</v>
      </c>
      <c r="D164" s="6">
        <v>0</v>
      </c>
      <c r="E164" s="6">
        <v>2</v>
      </c>
      <c r="F164" s="6">
        <v>0</v>
      </c>
      <c r="G164" s="6">
        <v>0</v>
      </c>
      <c r="H164" s="6">
        <v>0</v>
      </c>
      <c r="I164" s="6">
        <v>0</v>
      </c>
      <c r="J164" s="6">
        <v>2</v>
      </c>
      <c r="K164" s="7" t="str">
        <f t="shared" si="6"/>
        <v>1B</v>
      </c>
      <c r="L164" t="b">
        <f t="shared" si="5"/>
        <v>0</v>
      </c>
    </row>
    <row r="165" spans="1:12" x14ac:dyDescent="0.2">
      <c r="A165" t="s">
        <v>444</v>
      </c>
      <c r="B165" s="6">
        <v>0</v>
      </c>
      <c r="C165" s="6">
        <v>0</v>
      </c>
      <c r="D165" s="6">
        <v>32</v>
      </c>
      <c r="E165" s="6">
        <v>0</v>
      </c>
      <c r="F165" s="6">
        <v>0</v>
      </c>
      <c r="G165" s="6">
        <v>7</v>
      </c>
      <c r="H165" s="6">
        <v>0</v>
      </c>
      <c r="I165" s="6">
        <v>0</v>
      </c>
      <c r="J165" s="6">
        <v>1</v>
      </c>
      <c r="K165" s="7" t="str">
        <f t="shared" si="6"/>
        <v>2B</v>
      </c>
      <c r="L165" t="b">
        <f t="shared" si="5"/>
        <v>0</v>
      </c>
    </row>
    <row r="166" spans="1:12" x14ac:dyDescent="0.2">
      <c r="A166" t="s">
        <v>488</v>
      </c>
      <c r="B166" s="6">
        <v>0</v>
      </c>
      <c r="C166" s="6">
        <v>0</v>
      </c>
      <c r="D166" s="6">
        <v>65</v>
      </c>
      <c r="E166" s="6">
        <v>0</v>
      </c>
      <c r="F166" s="6">
        <v>4</v>
      </c>
      <c r="G166" s="6">
        <v>0</v>
      </c>
      <c r="H166" s="6">
        <v>0</v>
      </c>
      <c r="I166" s="6">
        <v>0</v>
      </c>
      <c r="J166" s="6">
        <v>0</v>
      </c>
      <c r="K166" s="7" t="str">
        <f t="shared" si="6"/>
        <v>2B</v>
      </c>
      <c r="L166" t="b">
        <f t="shared" si="5"/>
        <v>0</v>
      </c>
    </row>
    <row r="167" spans="1:12" x14ac:dyDescent="0.2">
      <c r="A167" t="s">
        <v>567</v>
      </c>
      <c r="B167" s="6">
        <v>0</v>
      </c>
      <c r="C167" s="6">
        <v>0</v>
      </c>
      <c r="D167" s="6">
        <v>4</v>
      </c>
      <c r="E167" s="6">
        <v>0</v>
      </c>
      <c r="F167" s="6">
        <v>0</v>
      </c>
      <c r="G167" s="6">
        <v>5</v>
      </c>
      <c r="H167" s="6">
        <v>0</v>
      </c>
      <c r="I167" s="6">
        <v>0</v>
      </c>
      <c r="J167" s="6">
        <v>0</v>
      </c>
      <c r="K167" s="7" t="str">
        <f t="shared" si="6"/>
        <v>LF</v>
      </c>
      <c r="L167" t="b">
        <f t="shared" si="5"/>
        <v>0</v>
      </c>
    </row>
    <row r="168" spans="1:12" x14ac:dyDescent="0.2">
      <c r="A168" t="s">
        <v>299</v>
      </c>
      <c r="B168" s="6">
        <v>0</v>
      </c>
      <c r="C168" s="6">
        <v>94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0</v>
      </c>
      <c r="K168" s="7" t="str">
        <f t="shared" si="6"/>
        <v>1B</v>
      </c>
      <c r="L168" t="b">
        <f t="shared" si="5"/>
        <v>0</v>
      </c>
    </row>
    <row r="169" spans="1:12" x14ac:dyDescent="0.2">
      <c r="A169" t="s">
        <v>167</v>
      </c>
      <c r="B169" s="6">
        <v>0</v>
      </c>
      <c r="C169" s="6">
        <v>0</v>
      </c>
      <c r="D169" s="6">
        <v>10</v>
      </c>
      <c r="E169" s="6">
        <v>0</v>
      </c>
      <c r="F169" s="6">
        <v>0</v>
      </c>
      <c r="G169" s="6">
        <v>0</v>
      </c>
      <c r="H169" s="6">
        <v>1</v>
      </c>
      <c r="I169" s="6">
        <v>53</v>
      </c>
      <c r="J169" s="6">
        <v>9</v>
      </c>
      <c r="K169" s="7" t="str">
        <f t="shared" si="6"/>
        <v>RF</v>
      </c>
      <c r="L169" t="b">
        <f t="shared" si="5"/>
        <v>0</v>
      </c>
    </row>
    <row r="170" spans="1:12" x14ac:dyDescent="0.2">
      <c r="A170" t="s">
        <v>390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86</v>
      </c>
      <c r="J170" s="6">
        <v>1</v>
      </c>
      <c r="K170" s="7" t="str">
        <f t="shared" si="6"/>
        <v>RF</v>
      </c>
      <c r="L170" t="b">
        <f t="shared" si="5"/>
        <v>0</v>
      </c>
    </row>
    <row r="171" spans="1:12" x14ac:dyDescent="0.2">
      <c r="A171" t="s">
        <v>404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26</v>
      </c>
      <c r="H171" s="6">
        <v>52</v>
      </c>
      <c r="I171" s="6">
        <v>0</v>
      </c>
      <c r="J171" s="6">
        <v>0</v>
      </c>
      <c r="K171" s="7" t="str">
        <f t="shared" si="6"/>
        <v>CF</v>
      </c>
      <c r="L171" t="b">
        <f t="shared" si="5"/>
        <v>0</v>
      </c>
    </row>
    <row r="172" spans="1:12" x14ac:dyDescent="0.2">
      <c r="A172" t="s">
        <v>121</v>
      </c>
      <c r="B172" s="6">
        <v>9</v>
      </c>
      <c r="C172" s="6">
        <v>1</v>
      </c>
      <c r="D172" s="6">
        <v>0</v>
      </c>
      <c r="E172" s="6">
        <v>2</v>
      </c>
      <c r="F172" s="6">
        <v>0</v>
      </c>
      <c r="G172" s="6">
        <v>16</v>
      </c>
      <c r="H172" s="6">
        <v>0</v>
      </c>
      <c r="I172" s="6">
        <v>18</v>
      </c>
      <c r="J172" s="6">
        <v>12</v>
      </c>
      <c r="K172" s="7" t="str">
        <f t="shared" si="6"/>
        <v>RF</v>
      </c>
      <c r="L172" t="b">
        <f t="shared" si="5"/>
        <v>0</v>
      </c>
    </row>
    <row r="173" spans="1:12" x14ac:dyDescent="0.2">
      <c r="A173" t="s">
        <v>236</v>
      </c>
      <c r="B173" s="6">
        <v>13</v>
      </c>
      <c r="C173" s="6">
        <v>0</v>
      </c>
      <c r="D173" s="6">
        <v>0</v>
      </c>
      <c r="E173" s="6">
        <v>0</v>
      </c>
      <c r="F173" s="6">
        <v>0</v>
      </c>
      <c r="G173" s="6">
        <v>1</v>
      </c>
      <c r="H173" s="6">
        <v>0</v>
      </c>
      <c r="I173" s="6">
        <v>0</v>
      </c>
      <c r="J173" s="6">
        <v>14</v>
      </c>
      <c r="K173" s="7" t="str">
        <f t="shared" si="6"/>
        <v>DH</v>
      </c>
      <c r="L173" t="b">
        <f t="shared" si="5"/>
        <v>0</v>
      </c>
    </row>
    <row r="174" spans="1:12" x14ac:dyDescent="0.2">
      <c r="A174" t="s">
        <v>568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1</v>
      </c>
      <c r="I174" s="6">
        <v>66</v>
      </c>
      <c r="J174" s="6">
        <v>0</v>
      </c>
      <c r="K174" s="7" t="str">
        <f t="shared" si="6"/>
        <v>RF</v>
      </c>
      <c r="L174" t="b">
        <f t="shared" si="5"/>
        <v>0</v>
      </c>
    </row>
    <row r="175" spans="1:12" x14ac:dyDescent="0.2">
      <c r="A175" t="s">
        <v>256</v>
      </c>
      <c r="B175" s="6">
        <v>8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7" t="str">
        <f t="shared" si="6"/>
        <v>C</v>
      </c>
      <c r="L175" t="b">
        <f t="shared" si="5"/>
        <v>0</v>
      </c>
    </row>
    <row r="176" spans="1:12" x14ac:dyDescent="0.2">
      <c r="A176" t="s">
        <v>569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5</v>
      </c>
      <c r="H176" s="6">
        <v>6</v>
      </c>
      <c r="I176" s="6">
        <v>4</v>
      </c>
      <c r="J176" s="6">
        <v>0</v>
      </c>
      <c r="K176" s="7" t="str">
        <f t="shared" si="6"/>
        <v>CF</v>
      </c>
      <c r="L176" t="b">
        <f t="shared" si="5"/>
        <v>0</v>
      </c>
    </row>
    <row r="177" spans="1:12" x14ac:dyDescent="0.2">
      <c r="A177" t="s">
        <v>570</v>
      </c>
      <c r="B177" s="6">
        <v>0</v>
      </c>
      <c r="C177" s="6">
        <v>79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9</v>
      </c>
      <c r="K177" s="7" t="str">
        <f t="shared" si="6"/>
        <v>1B</v>
      </c>
      <c r="L177" t="b">
        <f t="shared" si="5"/>
        <v>0</v>
      </c>
    </row>
    <row r="178" spans="1:12" x14ac:dyDescent="0.2">
      <c r="A178" t="s">
        <v>166</v>
      </c>
      <c r="B178" s="6">
        <v>0</v>
      </c>
      <c r="C178" s="6">
        <v>0</v>
      </c>
      <c r="D178" s="6">
        <v>0</v>
      </c>
      <c r="E178" s="6">
        <v>64</v>
      </c>
      <c r="F178" s="6">
        <v>3</v>
      </c>
      <c r="G178" s="6">
        <v>0</v>
      </c>
      <c r="H178" s="6">
        <v>0</v>
      </c>
      <c r="I178" s="6">
        <v>0</v>
      </c>
      <c r="J178" s="6">
        <v>1</v>
      </c>
      <c r="K178" s="7" t="str">
        <f t="shared" si="6"/>
        <v>3B</v>
      </c>
      <c r="L178" t="b">
        <f t="shared" si="5"/>
        <v>0</v>
      </c>
    </row>
    <row r="179" spans="1:12" x14ac:dyDescent="0.2">
      <c r="A179" t="s">
        <v>154</v>
      </c>
      <c r="B179" s="6">
        <v>33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7</v>
      </c>
      <c r="K179" s="7" t="str">
        <f t="shared" si="6"/>
        <v>C</v>
      </c>
      <c r="L179" t="b">
        <f t="shared" si="5"/>
        <v>0</v>
      </c>
    </row>
    <row r="180" spans="1:12" x14ac:dyDescent="0.2">
      <c r="A180" t="s">
        <v>509</v>
      </c>
      <c r="B180" s="6">
        <v>13</v>
      </c>
      <c r="C180" s="6">
        <v>2</v>
      </c>
      <c r="D180" s="6">
        <v>0</v>
      </c>
      <c r="E180" s="6">
        <v>0</v>
      </c>
      <c r="F180" s="6">
        <v>0</v>
      </c>
      <c r="G180" s="6">
        <v>0</v>
      </c>
      <c r="H180" s="6">
        <v>0</v>
      </c>
      <c r="I180" s="6">
        <v>0</v>
      </c>
      <c r="J180" s="6">
        <v>13</v>
      </c>
      <c r="K180" s="7" t="str">
        <f t="shared" si="6"/>
        <v>C</v>
      </c>
      <c r="L180" t="b">
        <f t="shared" si="5"/>
        <v>1</v>
      </c>
    </row>
    <row r="181" spans="1:12" x14ac:dyDescent="0.2">
      <c r="A181" t="s">
        <v>60</v>
      </c>
      <c r="B181" s="6">
        <v>0</v>
      </c>
      <c r="C181" s="6">
        <v>0</v>
      </c>
      <c r="D181" s="6">
        <v>15</v>
      </c>
      <c r="E181" s="6">
        <v>41</v>
      </c>
      <c r="F181" s="6">
        <v>0</v>
      </c>
      <c r="G181" s="6">
        <v>3</v>
      </c>
      <c r="H181" s="6">
        <v>15</v>
      </c>
      <c r="I181" s="6">
        <v>4</v>
      </c>
      <c r="J181" s="6">
        <v>0</v>
      </c>
      <c r="K181" s="7" t="str">
        <f t="shared" si="6"/>
        <v>3B</v>
      </c>
      <c r="L181" t="b">
        <f t="shared" si="5"/>
        <v>0</v>
      </c>
    </row>
    <row r="182" spans="1:12" x14ac:dyDescent="0.2">
      <c r="A182" t="s">
        <v>392</v>
      </c>
      <c r="B182" s="6">
        <v>0</v>
      </c>
      <c r="C182" s="6">
        <v>0</v>
      </c>
      <c r="D182" s="6">
        <v>0</v>
      </c>
      <c r="E182" s="6">
        <v>0</v>
      </c>
      <c r="F182" s="6">
        <v>0</v>
      </c>
      <c r="G182" s="6">
        <v>18</v>
      </c>
      <c r="H182" s="6">
        <v>60</v>
      </c>
      <c r="I182" s="6">
        <v>6</v>
      </c>
      <c r="J182" s="6">
        <v>0</v>
      </c>
      <c r="K182" s="7" t="str">
        <f t="shared" si="6"/>
        <v>CF</v>
      </c>
      <c r="L182" t="b">
        <f t="shared" si="5"/>
        <v>0</v>
      </c>
    </row>
    <row r="183" spans="1:12" x14ac:dyDescent="0.2">
      <c r="A183" t="s">
        <v>571</v>
      </c>
      <c r="B183" s="6">
        <v>0</v>
      </c>
      <c r="C183" s="6">
        <v>0</v>
      </c>
      <c r="D183" s="6">
        <v>0</v>
      </c>
      <c r="E183" s="6">
        <v>0</v>
      </c>
      <c r="F183" s="6">
        <v>91</v>
      </c>
      <c r="G183" s="6">
        <v>0</v>
      </c>
      <c r="H183" s="6">
        <v>0</v>
      </c>
      <c r="I183" s="6">
        <v>0</v>
      </c>
      <c r="J183" s="6">
        <v>0</v>
      </c>
      <c r="K183" s="7" t="str">
        <f t="shared" si="6"/>
        <v>SS</v>
      </c>
      <c r="L183" t="b">
        <f t="shared" si="5"/>
        <v>0</v>
      </c>
    </row>
    <row r="184" spans="1:12" x14ac:dyDescent="0.2">
      <c r="A184" t="s">
        <v>39</v>
      </c>
      <c r="B184" s="6">
        <v>0</v>
      </c>
      <c r="C184" s="6">
        <v>50</v>
      </c>
      <c r="D184" s="6">
        <v>0</v>
      </c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12</v>
      </c>
      <c r="K184" s="7" t="str">
        <f t="shared" si="6"/>
        <v>1B</v>
      </c>
      <c r="L184" t="b">
        <f t="shared" si="5"/>
        <v>0</v>
      </c>
    </row>
    <row r="185" spans="1:12" x14ac:dyDescent="0.2">
      <c r="A185" t="s">
        <v>139</v>
      </c>
      <c r="B185" s="6">
        <v>0</v>
      </c>
      <c r="C185" s="6">
        <v>0</v>
      </c>
      <c r="D185" s="6">
        <v>20</v>
      </c>
      <c r="E185" s="6">
        <v>75</v>
      </c>
      <c r="F185" s="6">
        <v>4</v>
      </c>
      <c r="G185" s="6">
        <v>0</v>
      </c>
      <c r="H185" s="6">
        <v>0</v>
      </c>
      <c r="I185" s="6">
        <v>0</v>
      </c>
      <c r="J185" s="6">
        <v>0</v>
      </c>
      <c r="K185" s="7" t="str">
        <f t="shared" si="6"/>
        <v>3B</v>
      </c>
      <c r="L185" t="b">
        <f t="shared" si="5"/>
        <v>0</v>
      </c>
    </row>
    <row r="186" spans="1:12" x14ac:dyDescent="0.2">
      <c r="A186" t="s">
        <v>572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1</v>
      </c>
      <c r="H186" s="6">
        <v>0</v>
      </c>
      <c r="I186" s="6">
        <v>0</v>
      </c>
      <c r="J186" s="6">
        <v>0</v>
      </c>
      <c r="K186" s="7" t="str">
        <f t="shared" si="6"/>
        <v>LF</v>
      </c>
      <c r="L186" t="b">
        <f t="shared" si="5"/>
        <v>0</v>
      </c>
    </row>
    <row r="187" spans="1:12" x14ac:dyDescent="0.2">
      <c r="A187" t="s">
        <v>425</v>
      </c>
      <c r="B187" s="6">
        <v>0</v>
      </c>
      <c r="C187" s="6">
        <v>30</v>
      </c>
      <c r="D187" s="6">
        <v>0</v>
      </c>
      <c r="E187" s="6">
        <v>1</v>
      </c>
      <c r="F187" s="6">
        <v>0</v>
      </c>
      <c r="G187" s="6">
        <v>0</v>
      </c>
      <c r="H187" s="6">
        <v>0</v>
      </c>
      <c r="I187" s="6">
        <v>0</v>
      </c>
      <c r="J187" s="6">
        <v>0</v>
      </c>
      <c r="K187" s="7" t="str">
        <f t="shared" si="6"/>
        <v>1B</v>
      </c>
      <c r="L187" t="b">
        <f t="shared" si="5"/>
        <v>0</v>
      </c>
    </row>
    <row r="188" spans="1:12" x14ac:dyDescent="0.2">
      <c r="A188" t="s">
        <v>573</v>
      </c>
      <c r="B188" s="6">
        <v>0</v>
      </c>
      <c r="C188" s="6">
        <v>4</v>
      </c>
      <c r="D188" s="6">
        <v>1</v>
      </c>
      <c r="E188" s="6">
        <v>0</v>
      </c>
      <c r="F188" s="6">
        <v>0</v>
      </c>
      <c r="G188" s="6">
        <v>0</v>
      </c>
      <c r="H188" s="6">
        <v>0</v>
      </c>
      <c r="I188" s="6">
        <v>0</v>
      </c>
      <c r="J188" s="6">
        <v>6</v>
      </c>
      <c r="K188" s="7" t="str">
        <f t="shared" si="6"/>
        <v>DH</v>
      </c>
      <c r="L188" t="b">
        <f t="shared" si="5"/>
        <v>0</v>
      </c>
    </row>
    <row r="189" spans="1:12" x14ac:dyDescent="0.2">
      <c r="A189" t="s">
        <v>8</v>
      </c>
      <c r="B189" s="6">
        <v>64</v>
      </c>
      <c r="C189" s="6">
        <v>0</v>
      </c>
      <c r="D189" s="6">
        <v>0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26</v>
      </c>
      <c r="K189" s="7" t="str">
        <f t="shared" si="6"/>
        <v>C</v>
      </c>
      <c r="L189" t="b">
        <f t="shared" si="5"/>
        <v>0</v>
      </c>
    </row>
    <row r="190" spans="1:12" x14ac:dyDescent="0.2">
      <c r="A190" t="s">
        <v>362</v>
      </c>
      <c r="B190" s="6">
        <v>0</v>
      </c>
      <c r="C190" s="6">
        <v>0</v>
      </c>
      <c r="D190" s="6">
        <v>0</v>
      </c>
      <c r="E190" s="6">
        <v>47</v>
      </c>
      <c r="F190" s="6">
        <v>0</v>
      </c>
      <c r="G190" s="6">
        <v>0</v>
      </c>
      <c r="H190" s="6">
        <v>0</v>
      </c>
      <c r="I190" s="6">
        <v>0</v>
      </c>
      <c r="J190" s="6">
        <v>14</v>
      </c>
      <c r="K190" s="7" t="str">
        <f t="shared" si="6"/>
        <v>3B</v>
      </c>
      <c r="L190" t="b">
        <f t="shared" si="5"/>
        <v>0</v>
      </c>
    </row>
    <row r="191" spans="1:12" x14ac:dyDescent="0.2">
      <c r="A191" t="s">
        <v>393</v>
      </c>
      <c r="B191" s="6">
        <v>0</v>
      </c>
      <c r="C191" s="6">
        <v>1</v>
      </c>
      <c r="D191" s="6">
        <v>6</v>
      </c>
      <c r="E191" s="6">
        <v>18</v>
      </c>
      <c r="F191" s="6">
        <v>33</v>
      </c>
      <c r="G191" s="6">
        <v>0</v>
      </c>
      <c r="H191" s="6">
        <v>0</v>
      </c>
      <c r="I191" s="6">
        <v>0</v>
      </c>
      <c r="J191" s="6">
        <v>0</v>
      </c>
      <c r="K191" s="7" t="str">
        <f t="shared" si="6"/>
        <v>SS</v>
      </c>
      <c r="L191" t="b">
        <f t="shared" si="5"/>
        <v>0</v>
      </c>
    </row>
    <row r="192" spans="1:12" x14ac:dyDescent="0.2">
      <c r="A192" t="s">
        <v>314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88</v>
      </c>
      <c r="H192" s="6">
        <v>0</v>
      </c>
      <c r="I192" s="6">
        <v>0</v>
      </c>
      <c r="J192" s="6">
        <v>8</v>
      </c>
      <c r="K192" s="7" t="str">
        <f t="shared" si="6"/>
        <v>LF</v>
      </c>
      <c r="L192" t="b">
        <f t="shared" si="5"/>
        <v>0</v>
      </c>
    </row>
    <row r="193" spans="1:12" x14ac:dyDescent="0.2">
      <c r="A193" t="s">
        <v>84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20</v>
      </c>
      <c r="H193" s="6">
        <v>0</v>
      </c>
      <c r="I193" s="6">
        <v>9</v>
      </c>
      <c r="J193" s="6">
        <v>26</v>
      </c>
      <c r="K193" s="7" t="str">
        <f t="shared" si="6"/>
        <v>DH</v>
      </c>
      <c r="L193" t="b">
        <f t="shared" si="5"/>
        <v>0</v>
      </c>
    </row>
    <row r="194" spans="1:12" x14ac:dyDescent="0.2">
      <c r="A194" t="s">
        <v>126</v>
      </c>
      <c r="B194" s="6">
        <v>0</v>
      </c>
      <c r="C194" s="6">
        <v>0</v>
      </c>
      <c r="D194" s="6">
        <v>0</v>
      </c>
      <c r="E194" s="6">
        <v>0</v>
      </c>
      <c r="F194" s="6">
        <v>56</v>
      </c>
      <c r="G194" s="6">
        <v>0</v>
      </c>
      <c r="H194" s="6">
        <v>0</v>
      </c>
      <c r="I194" s="6">
        <v>0</v>
      </c>
      <c r="J194" s="6">
        <v>3</v>
      </c>
      <c r="K194" s="7" t="str">
        <f t="shared" si="6"/>
        <v>SS</v>
      </c>
      <c r="L194" t="b">
        <f t="shared" si="5"/>
        <v>0</v>
      </c>
    </row>
    <row r="195" spans="1:12" x14ac:dyDescent="0.2">
      <c r="A195" t="s">
        <v>336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0</v>
      </c>
      <c r="H195" s="6">
        <v>74</v>
      </c>
      <c r="I195" s="6">
        <v>0</v>
      </c>
      <c r="J195" s="6">
        <v>1</v>
      </c>
      <c r="K195" s="7" t="str">
        <f t="shared" si="6"/>
        <v>CF</v>
      </c>
      <c r="L195" t="b">
        <f t="shared" ref="L195:L258" si="7">COUNTIF(B195:J195, MAX(B195:J195)) &gt; 1</f>
        <v>0</v>
      </c>
    </row>
    <row r="196" spans="1:12" x14ac:dyDescent="0.2">
      <c r="A196" t="s">
        <v>128</v>
      </c>
      <c r="B196" s="6">
        <v>0</v>
      </c>
      <c r="C196" s="6">
        <v>22</v>
      </c>
      <c r="D196" s="6">
        <v>21</v>
      </c>
      <c r="E196" s="6">
        <v>12</v>
      </c>
      <c r="F196" s="6">
        <v>0</v>
      </c>
      <c r="G196" s="6">
        <v>0</v>
      </c>
      <c r="H196" s="6">
        <v>0</v>
      </c>
      <c r="I196" s="6">
        <v>0</v>
      </c>
      <c r="J196" s="6">
        <v>2</v>
      </c>
      <c r="K196" s="7" t="str">
        <f t="shared" si="6"/>
        <v>1B</v>
      </c>
      <c r="L196" t="b">
        <f t="shared" si="7"/>
        <v>0</v>
      </c>
    </row>
    <row r="197" spans="1:12" x14ac:dyDescent="0.2">
      <c r="A197" t="s">
        <v>241</v>
      </c>
      <c r="B197" s="6">
        <v>0</v>
      </c>
      <c r="C197" s="6">
        <v>9</v>
      </c>
      <c r="D197" s="6">
        <v>0</v>
      </c>
      <c r="E197" s="6">
        <v>2</v>
      </c>
      <c r="F197" s="6">
        <v>0</v>
      </c>
      <c r="G197" s="6">
        <v>0</v>
      </c>
      <c r="H197" s="6">
        <v>0</v>
      </c>
      <c r="I197" s="6">
        <v>0</v>
      </c>
      <c r="J197" s="6">
        <v>5</v>
      </c>
      <c r="K197" s="7" t="str">
        <f t="shared" si="6"/>
        <v>1B</v>
      </c>
      <c r="L197" t="b">
        <f t="shared" si="7"/>
        <v>0</v>
      </c>
    </row>
    <row r="198" spans="1:12" x14ac:dyDescent="0.2">
      <c r="A198" t="s">
        <v>112</v>
      </c>
      <c r="B198" s="6">
        <v>0</v>
      </c>
      <c r="C198" s="6">
        <v>80</v>
      </c>
      <c r="D198" s="6">
        <v>0</v>
      </c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11</v>
      </c>
      <c r="K198" s="7" t="str">
        <f t="shared" si="6"/>
        <v>1B</v>
      </c>
      <c r="L198" t="b">
        <f t="shared" si="7"/>
        <v>0</v>
      </c>
    </row>
    <row r="199" spans="1:12" x14ac:dyDescent="0.2">
      <c r="A199" t="s">
        <v>574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37</v>
      </c>
      <c r="H199" s="6">
        <v>0</v>
      </c>
      <c r="I199" s="6">
        <v>0</v>
      </c>
      <c r="J199" s="6">
        <v>9</v>
      </c>
      <c r="K199" s="7" t="str">
        <f t="shared" si="6"/>
        <v>LF</v>
      </c>
      <c r="L199" t="b">
        <f t="shared" si="7"/>
        <v>0</v>
      </c>
    </row>
    <row r="200" spans="1:12" x14ac:dyDescent="0.2">
      <c r="A200" t="s">
        <v>575</v>
      </c>
      <c r="B200" s="6">
        <v>0</v>
      </c>
      <c r="C200" s="6">
        <v>0</v>
      </c>
      <c r="D200" s="6">
        <v>0</v>
      </c>
      <c r="E200" s="6">
        <v>28</v>
      </c>
      <c r="F200" s="6">
        <v>0</v>
      </c>
      <c r="G200" s="6">
        <v>0</v>
      </c>
      <c r="H200" s="6">
        <v>0</v>
      </c>
      <c r="I200" s="6">
        <v>0</v>
      </c>
      <c r="J200" s="6">
        <v>0</v>
      </c>
      <c r="K200" s="7" t="str">
        <f t="shared" si="6"/>
        <v>3B</v>
      </c>
      <c r="L200" t="b">
        <f t="shared" si="7"/>
        <v>0</v>
      </c>
    </row>
    <row r="201" spans="1:12" x14ac:dyDescent="0.2">
      <c r="A201" t="s">
        <v>162</v>
      </c>
      <c r="B201" s="6">
        <v>24</v>
      </c>
      <c r="C201" s="6">
        <v>0</v>
      </c>
      <c r="D201" s="6">
        <v>0</v>
      </c>
      <c r="E201" s="6">
        <v>0</v>
      </c>
      <c r="F201" s="6">
        <v>0</v>
      </c>
      <c r="G201" s="6">
        <v>3</v>
      </c>
      <c r="H201" s="6">
        <v>0</v>
      </c>
      <c r="I201" s="6">
        <v>0</v>
      </c>
      <c r="J201" s="6">
        <v>0</v>
      </c>
      <c r="K201" s="7" t="str">
        <f t="shared" si="6"/>
        <v>C</v>
      </c>
      <c r="L201" t="b">
        <f t="shared" si="7"/>
        <v>0</v>
      </c>
    </row>
    <row r="202" spans="1:12" x14ac:dyDescent="0.2">
      <c r="A202" t="s">
        <v>513</v>
      </c>
      <c r="B202" s="6">
        <v>0</v>
      </c>
      <c r="C202" s="6">
        <v>0</v>
      </c>
      <c r="D202" s="6">
        <v>0</v>
      </c>
      <c r="E202" s="6">
        <v>0</v>
      </c>
      <c r="F202" s="6">
        <v>0</v>
      </c>
      <c r="G202" s="6">
        <v>29</v>
      </c>
      <c r="H202" s="6">
        <v>3</v>
      </c>
      <c r="I202" s="6">
        <v>0</v>
      </c>
      <c r="J202" s="6">
        <v>1</v>
      </c>
      <c r="K202" s="7" t="str">
        <f t="shared" ref="K202:K265" si="8">INDEX($B$1:$J$1, MATCH(MAX(B202:J202), B202:J202, 0))</f>
        <v>LF</v>
      </c>
      <c r="L202" t="b">
        <f t="shared" si="7"/>
        <v>0</v>
      </c>
    </row>
    <row r="203" spans="1:12" x14ac:dyDescent="0.2">
      <c r="A203" t="s">
        <v>458</v>
      </c>
      <c r="B203" s="6">
        <v>0</v>
      </c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26</v>
      </c>
      <c r="I203" s="6">
        <v>6</v>
      </c>
      <c r="J203" s="6">
        <v>0</v>
      </c>
      <c r="K203" s="7" t="str">
        <f t="shared" si="8"/>
        <v>CF</v>
      </c>
      <c r="L203" t="b">
        <f t="shared" si="7"/>
        <v>0</v>
      </c>
    </row>
    <row r="204" spans="1:12" x14ac:dyDescent="0.2">
      <c r="A204" t="s">
        <v>401</v>
      </c>
      <c r="B204" s="6">
        <v>0</v>
      </c>
      <c r="C204" s="6">
        <v>0</v>
      </c>
      <c r="D204" s="6">
        <v>8</v>
      </c>
      <c r="E204" s="6">
        <v>48</v>
      </c>
      <c r="F204" s="6">
        <v>29</v>
      </c>
      <c r="G204" s="6">
        <v>0</v>
      </c>
      <c r="H204" s="6">
        <v>0</v>
      </c>
      <c r="I204" s="6">
        <v>0</v>
      </c>
      <c r="J204" s="6">
        <v>0</v>
      </c>
      <c r="K204" s="7" t="str">
        <f t="shared" si="8"/>
        <v>3B</v>
      </c>
      <c r="L204" t="b">
        <f t="shared" si="7"/>
        <v>0</v>
      </c>
    </row>
    <row r="205" spans="1:12" x14ac:dyDescent="0.2">
      <c r="A205" t="s">
        <v>461</v>
      </c>
      <c r="B205" s="6">
        <v>0</v>
      </c>
      <c r="C205" s="6">
        <v>0</v>
      </c>
      <c r="D205" s="6">
        <v>0</v>
      </c>
      <c r="E205" s="6">
        <v>0</v>
      </c>
      <c r="F205" s="6">
        <v>0</v>
      </c>
      <c r="G205" s="6">
        <v>89</v>
      </c>
      <c r="H205" s="6">
        <v>0</v>
      </c>
      <c r="I205" s="6">
        <v>0</v>
      </c>
      <c r="J205" s="6">
        <v>3</v>
      </c>
      <c r="K205" s="7" t="str">
        <f t="shared" si="8"/>
        <v>LF</v>
      </c>
      <c r="L205" t="b">
        <f t="shared" si="7"/>
        <v>0</v>
      </c>
    </row>
    <row r="206" spans="1:12" x14ac:dyDescent="0.2">
      <c r="A206" t="s">
        <v>287</v>
      </c>
      <c r="B206" s="6">
        <v>0</v>
      </c>
      <c r="C206" s="6">
        <v>92</v>
      </c>
      <c r="D206" s="6">
        <v>0</v>
      </c>
      <c r="E206" s="6">
        <v>0</v>
      </c>
      <c r="F206" s="6">
        <v>0</v>
      </c>
      <c r="G206" s="6">
        <v>0</v>
      </c>
      <c r="H206" s="6">
        <v>0</v>
      </c>
      <c r="I206" s="6">
        <v>0</v>
      </c>
      <c r="J206" s="6">
        <v>6</v>
      </c>
      <c r="K206" s="7" t="str">
        <f t="shared" si="8"/>
        <v>1B</v>
      </c>
      <c r="L206" t="b">
        <f t="shared" si="7"/>
        <v>0</v>
      </c>
    </row>
    <row r="207" spans="1:12" x14ac:dyDescent="0.2">
      <c r="A207" t="s">
        <v>576</v>
      </c>
      <c r="B207" s="6">
        <v>0</v>
      </c>
      <c r="C207" s="6">
        <v>1</v>
      </c>
      <c r="D207" s="6">
        <v>1</v>
      </c>
      <c r="E207" s="6">
        <v>4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7" t="str">
        <f t="shared" si="8"/>
        <v>3B</v>
      </c>
      <c r="L207" t="b">
        <f t="shared" si="7"/>
        <v>0</v>
      </c>
    </row>
    <row r="208" spans="1:12" x14ac:dyDescent="0.2">
      <c r="A208" t="s">
        <v>459</v>
      </c>
      <c r="B208" s="6">
        <v>0</v>
      </c>
      <c r="C208" s="6">
        <v>0</v>
      </c>
      <c r="D208" s="6">
        <v>0</v>
      </c>
      <c r="E208" s="6">
        <v>0</v>
      </c>
      <c r="F208" s="6">
        <v>0</v>
      </c>
      <c r="G208" s="6">
        <v>11</v>
      </c>
      <c r="H208" s="6">
        <v>0</v>
      </c>
      <c r="I208" s="6">
        <v>6</v>
      </c>
      <c r="J208" s="6">
        <v>0</v>
      </c>
      <c r="K208" s="7" t="str">
        <f t="shared" si="8"/>
        <v>LF</v>
      </c>
      <c r="L208" t="b">
        <f t="shared" si="7"/>
        <v>0</v>
      </c>
    </row>
    <row r="209" spans="1:12" x14ac:dyDescent="0.2">
      <c r="A209" t="s">
        <v>577</v>
      </c>
      <c r="B209" s="6">
        <v>0</v>
      </c>
      <c r="C209" s="6">
        <v>0</v>
      </c>
      <c r="D209" s="6">
        <v>0</v>
      </c>
      <c r="E209" s="6">
        <v>0</v>
      </c>
      <c r="F209" s="6">
        <v>0</v>
      </c>
      <c r="G209" s="6">
        <v>2</v>
      </c>
      <c r="H209" s="6">
        <v>78</v>
      </c>
      <c r="I209" s="6">
        <v>0</v>
      </c>
      <c r="J209" s="6">
        <v>3</v>
      </c>
      <c r="K209" s="7" t="str">
        <f t="shared" si="8"/>
        <v>CF</v>
      </c>
      <c r="L209" t="b">
        <f t="shared" si="7"/>
        <v>0</v>
      </c>
    </row>
    <row r="210" spans="1:12" x14ac:dyDescent="0.2">
      <c r="A210" t="s">
        <v>198</v>
      </c>
      <c r="B210" s="6">
        <v>0</v>
      </c>
      <c r="C210" s="6">
        <v>0</v>
      </c>
      <c r="D210" s="6">
        <v>0</v>
      </c>
      <c r="E210" s="6">
        <v>46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7" t="str">
        <f t="shared" si="8"/>
        <v>3B</v>
      </c>
      <c r="L210" t="b">
        <f t="shared" si="7"/>
        <v>0</v>
      </c>
    </row>
    <row r="211" spans="1:12" x14ac:dyDescent="0.2">
      <c r="A211" t="s">
        <v>244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10</v>
      </c>
      <c r="H211" s="6">
        <v>0</v>
      </c>
      <c r="I211" s="6">
        <v>2</v>
      </c>
      <c r="J211" s="6">
        <v>1</v>
      </c>
      <c r="K211" s="7" t="str">
        <f t="shared" si="8"/>
        <v>LF</v>
      </c>
      <c r="L211" t="b">
        <f t="shared" si="7"/>
        <v>0</v>
      </c>
    </row>
    <row r="212" spans="1:12" x14ac:dyDescent="0.2">
      <c r="A212" t="s">
        <v>178</v>
      </c>
      <c r="B212" s="6">
        <v>47</v>
      </c>
      <c r="C212" s="6">
        <v>0</v>
      </c>
      <c r="D212" s="6">
        <v>0</v>
      </c>
      <c r="E212" s="6">
        <v>0</v>
      </c>
      <c r="F212" s="6">
        <v>0</v>
      </c>
      <c r="G212" s="6">
        <v>0</v>
      </c>
      <c r="H212" s="6">
        <v>0</v>
      </c>
      <c r="I212" s="6">
        <v>0</v>
      </c>
      <c r="J212" s="6">
        <v>0</v>
      </c>
      <c r="K212" s="7" t="str">
        <f t="shared" si="8"/>
        <v>C</v>
      </c>
      <c r="L212" t="b">
        <f t="shared" si="7"/>
        <v>0</v>
      </c>
    </row>
    <row r="213" spans="1:12" x14ac:dyDescent="0.2">
      <c r="A213" t="s">
        <v>470</v>
      </c>
      <c r="B213" s="6">
        <v>30</v>
      </c>
      <c r="C213" s="6">
        <v>3</v>
      </c>
      <c r="D213" s="6">
        <v>0</v>
      </c>
      <c r="E213" s="6">
        <v>1</v>
      </c>
      <c r="F213" s="6">
        <v>0</v>
      </c>
      <c r="G213" s="6">
        <v>0</v>
      </c>
      <c r="H213" s="6">
        <v>0</v>
      </c>
      <c r="I213" s="6">
        <v>0</v>
      </c>
      <c r="J213" s="6">
        <v>12</v>
      </c>
      <c r="K213" s="7" t="str">
        <f t="shared" si="8"/>
        <v>C</v>
      </c>
      <c r="L213" t="b">
        <f t="shared" si="7"/>
        <v>0</v>
      </c>
    </row>
    <row r="214" spans="1:12" x14ac:dyDescent="0.2">
      <c r="A214" t="s">
        <v>500</v>
      </c>
      <c r="B214" s="6">
        <v>36</v>
      </c>
      <c r="C214" s="6">
        <v>0</v>
      </c>
      <c r="D214" s="6">
        <v>0</v>
      </c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1</v>
      </c>
      <c r="K214" s="7" t="str">
        <f t="shared" si="8"/>
        <v>C</v>
      </c>
      <c r="L214" t="b">
        <f t="shared" si="7"/>
        <v>0</v>
      </c>
    </row>
    <row r="215" spans="1:12" x14ac:dyDescent="0.2">
      <c r="A215" t="s">
        <v>251</v>
      </c>
      <c r="B215" s="6">
        <v>0</v>
      </c>
      <c r="C215" s="6">
        <v>0</v>
      </c>
      <c r="D215" s="6">
        <v>0</v>
      </c>
      <c r="E215" s="6">
        <v>0</v>
      </c>
      <c r="F215" s="6">
        <v>4</v>
      </c>
      <c r="G215" s="6">
        <v>1</v>
      </c>
      <c r="H215" s="6">
        <v>9</v>
      </c>
      <c r="I215" s="6">
        <v>1</v>
      </c>
      <c r="J215" s="6">
        <v>0</v>
      </c>
      <c r="K215" s="7" t="str">
        <f t="shared" si="8"/>
        <v>CF</v>
      </c>
      <c r="L215" t="b">
        <f t="shared" si="7"/>
        <v>0</v>
      </c>
    </row>
    <row r="216" spans="1:12" x14ac:dyDescent="0.2">
      <c r="A216" t="s">
        <v>293</v>
      </c>
      <c r="B216" s="6">
        <v>0</v>
      </c>
      <c r="C216" s="6">
        <v>0</v>
      </c>
      <c r="D216" s="6">
        <v>0</v>
      </c>
      <c r="E216" s="6">
        <v>0</v>
      </c>
      <c r="F216" s="6">
        <v>90</v>
      </c>
      <c r="G216" s="6">
        <v>0</v>
      </c>
      <c r="H216" s="6">
        <v>0</v>
      </c>
      <c r="I216" s="6">
        <v>0</v>
      </c>
      <c r="J216" s="6">
        <v>6</v>
      </c>
      <c r="K216" s="7" t="str">
        <f t="shared" si="8"/>
        <v>SS</v>
      </c>
      <c r="L216" t="b">
        <f t="shared" si="7"/>
        <v>0</v>
      </c>
    </row>
    <row r="217" spans="1:12" x14ac:dyDescent="0.2">
      <c r="A217" t="s">
        <v>223</v>
      </c>
      <c r="B217" s="6">
        <v>0</v>
      </c>
      <c r="C217" s="6">
        <v>0</v>
      </c>
      <c r="D217" s="6">
        <v>11</v>
      </c>
      <c r="E217" s="6">
        <v>12</v>
      </c>
      <c r="F217" s="6">
        <v>27</v>
      </c>
      <c r="G217" s="6">
        <v>0</v>
      </c>
      <c r="H217" s="6">
        <v>0</v>
      </c>
      <c r="I217" s="6">
        <v>1</v>
      </c>
      <c r="J217" s="6">
        <v>0</v>
      </c>
      <c r="K217" s="7" t="str">
        <f t="shared" si="8"/>
        <v>SS</v>
      </c>
      <c r="L217" t="b">
        <f t="shared" si="7"/>
        <v>0</v>
      </c>
    </row>
    <row r="218" spans="1:12" x14ac:dyDescent="0.2">
      <c r="A218" t="s">
        <v>578</v>
      </c>
      <c r="B218" s="6">
        <v>0</v>
      </c>
      <c r="C218" s="6">
        <v>0</v>
      </c>
      <c r="D218" s="6">
        <v>0</v>
      </c>
      <c r="E218" s="6">
        <v>2</v>
      </c>
      <c r="F218" s="6">
        <v>0</v>
      </c>
      <c r="G218" s="6">
        <v>0</v>
      </c>
      <c r="H218" s="6">
        <v>0</v>
      </c>
      <c r="I218" s="6">
        <v>0</v>
      </c>
      <c r="J218" s="6">
        <v>0</v>
      </c>
      <c r="K218" s="7" t="str">
        <f t="shared" si="8"/>
        <v>3B</v>
      </c>
      <c r="L218" t="b">
        <f t="shared" si="7"/>
        <v>0</v>
      </c>
    </row>
    <row r="219" spans="1:12" x14ac:dyDescent="0.2">
      <c r="A219" t="s">
        <v>579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59</v>
      </c>
      <c r="H219" s="6">
        <v>0</v>
      </c>
      <c r="I219" s="6">
        <v>5</v>
      </c>
      <c r="J219" s="6">
        <v>5</v>
      </c>
      <c r="K219" s="7" t="str">
        <f t="shared" si="8"/>
        <v>LF</v>
      </c>
      <c r="L219" t="b">
        <f t="shared" si="7"/>
        <v>0</v>
      </c>
    </row>
    <row r="220" spans="1:12" x14ac:dyDescent="0.2">
      <c r="A220" t="s">
        <v>580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61</v>
      </c>
      <c r="H220" s="6">
        <v>0</v>
      </c>
      <c r="I220" s="6">
        <v>0</v>
      </c>
      <c r="J220" s="6">
        <v>1</v>
      </c>
      <c r="K220" s="7" t="str">
        <f t="shared" si="8"/>
        <v>LF</v>
      </c>
      <c r="L220" t="b">
        <f t="shared" si="7"/>
        <v>0</v>
      </c>
    </row>
    <row r="221" spans="1:12" x14ac:dyDescent="0.2">
      <c r="A221" t="s">
        <v>581</v>
      </c>
      <c r="B221" s="6">
        <v>36</v>
      </c>
      <c r="C221" s="6">
        <v>0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59</v>
      </c>
      <c r="K221" s="7" t="str">
        <f t="shared" si="8"/>
        <v>DH</v>
      </c>
      <c r="L221" t="b">
        <f t="shared" si="7"/>
        <v>0</v>
      </c>
    </row>
    <row r="222" spans="1:12" x14ac:dyDescent="0.2">
      <c r="A222" t="s">
        <v>582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0</v>
      </c>
      <c r="H222" s="6">
        <v>0</v>
      </c>
      <c r="I222" s="6">
        <v>1</v>
      </c>
      <c r="J222" s="6">
        <v>0</v>
      </c>
      <c r="K222" s="7" t="str">
        <f t="shared" si="8"/>
        <v>RF</v>
      </c>
      <c r="L222" t="b">
        <f t="shared" si="7"/>
        <v>0</v>
      </c>
    </row>
    <row r="223" spans="1:12" x14ac:dyDescent="0.2">
      <c r="A223" t="s">
        <v>319</v>
      </c>
      <c r="B223" s="6">
        <v>35</v>
      </c>
      <c r="C223" s="6">
        <v>25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30</v>
      </c>
      <c r="K223" s="7" t="str">
        <f t="shared" si="8"/>
        <v>C</v>
      </c>
      <c r="L223" t="b">
        <f t="shared" si="7"/>
        <v>0</v>
      </c>
    </row>
    <row r="224" spans="1:12" x14ac:dyDescent="0.2">
      <c r="A224" t="s">
        <v>105</v>
      </c>
      <c r="B224" s="6">
        <v>46</v>
      </c>
      <c r="C224" s="6">
        <v>0</v>
      </c>
      <c r="D224" s="6">
        <v>0</v>
      </c>
      <c r="E224" s="6">
        <v>0</v>
      </c>
      <c r="F224" s="6">
        <v>0</v>
      </c>
      <c r="G224" s="6">
        <v>0</v>
      </c>
      <c r="H224" s="6">
        <v>0</v>
      </c>
      <c r="I224" s="6">
        <v>0</v>
      </c>
      <c r="J224" s="6">
        <v>5</v>
      </c>
      <c r="K224" s="7" t="str">
        <f t="shared" si="8"/>
        <v>C</v>
      </c>
      <c r="L224" t="b">
        <f t="shared" si="7"/>
        <v>0</v>
      </c>
    </row>
    <row r="225" spans="1:12" x14ac:dyDescent="0.2">
      <c r="A225" t="s">
        <v>583</v>
      </c>
      <c r="B225" s="6">
        <v>13</v>
      </c>
      <c r="C225" s="6">
        <v>0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7" t="str">
        <f t="shared" si="8"/>
        <v>C</v>
      </c>
      <c r="L225" t="b">
        <f t="shared" si="7"/>
        <v>0</v>
      </c>
    </row>
    <row r="226" spans="1:12" x14ac:dyDescent="0.2">
      <c r="A226" t="s">
        <v>109</v>
      </c>
      <c r="B226" s="6">
        <v>0</v>
      </c>
      <c r="C226" s="6">
        <v>1</v>
      </c>
      <c r="D226" s="6">
        <v>0</v>
      </c>
      <c r="E226" s="6">
        <v>0</v>
      </c>
      <c r="F226" s="6">
        <v>0</v>
      </c>
      <c r="G226" s="6">
        <v>14</v>
      </c>
      <c r="H226" s="6">
        <v>24</v>
      </c>
      <c r="I226" s="6">
        <v>38</v>
      </c>
      <c r="J226" s="6">
        <v>1</v>
      </c>
      <c r="K226" s="7" t="str">
        <f t="shared" si="8"/>
        <v>RF</v>
      </c>
      <c r="L226" t="b">
        <f t="shared" si="7"/>
        <v>0</v>
      </c>
    </row>
    <row r="227" spans="1:12" x14ac:dyDescent="0.2">
      <c r="A227" t="s">
        <v>584</v>
      </c>
      <c r="B227" s="6">
        <v>0</v>
      </c>
      <c r="C227" s="6">
        <v>0</v>
      </c>
      <c r="D227" s="6">
        <v>0</v>
      </c>
      <c r="E227" s="6">
        <v>0</v>
      </c>
      <c r="F227" s="6">
        <v>0</v>
      </c>
      <c r="G227" s="6">
        <v>0</v>
      </c>
      <c r="H227" s="6">
        <v>0</v>
      </c>
      <c r="I227" s="6">
        <v>10</v>
      </c>
      <c r="J227" s="6">
        <v>1</v>
      </c>
      <c r="K227" s="7" t="str">
        <f t="shared" si="8"/>
        <v>RF</v>
      </c>
      <c r="L227" t="b">
        <f t="shared" si="7"/>
        <v>0</v>
      </c>
    </row>
    <row r="228" spans="1:12" x14ac:dyDescent="0.2">
      <c r="A228" t="s">
        <v>138</v>
      </c>
      <c r="B228" s="6">
        <v>0</v>
      </c>
      <c r="C228" s="6">
        <v>0</v>
      </c>
      <c r="D228" s="6">
        <v>87</v>
      </c>
      <c r="E228" s="6">
        <v>0</v>
      </c>
      <c r="F228" s="6">
        <v>10</v>
      </c>
      <c r="G228" s="6">
        <v>0</v>
      </c>
      <c r="H228" s="6">
        <v>0</v>
      </c>
      <c r="I228" s="6">
        <v>0</v>
      </c>
      <c r="J228" s="6">
        <v>0</v>
      </c>
      <c r="K228" s="7" t="str">
        <f t="shared" si="8"/>
        <v>2B</v>
      </c>
      <c r="L228" t="b">
        <f t="shared" si="7"/>
        <v>0</v>
      </c>
    </row>
    <row r="229" spans="1:12" x14ac:dyDescent="0.2">
      <c r="A229" t="s">
        <v>385</v>
      </c>
      <c r="B229" s="6">
        <v>0</v>
      </c>
      <c r="C229" s="6">
        <v>0</v>
      </c>
      <c r="D229" s="6">
        <v>40</v>
      </c>
      <c r="E229" s="6">
        <v>3</v>
      </c>
      <c r="F229" s="6">
        <v>1</v>
      </c>
      <c r="G229" s="6">
        <v>0</v>
      </c>
      <c r="H229" s="6">
        <v>0</v>
      </c>
      <c r="I229" s="6">
        <v>0</v>
      </c>
      <c r="J229" s="6">
        <v>1</v>
      </c>
      <c r="K229" s="7" t="str">
        <f t="shared" si="8"/>
        <v>2B</v>
      </c>
      <c r="L229" t="b">
        <f t="shared" si="7"/>
        <v>0</v>
      </c>
    </row>
    <row r="230" spans="1:12" x14ac:dyDescent="0.2">
      <c r="A230" t="s">
        <v>337</v>
      </c>
      <c r="B230" s="6">
        <v>0</v>
      </c>
      <c r="C230" s="6">
        <v>69</v>
      </c>
      <c r="D230" s="6">
        <v>0</v>
      </c>
      <c r="E230" s="6">
        <v>0</v>
      </c>
      <c r="F230" s="6">
        <v>0</v>
      </c>
      <c r="G230" s="6">
        <v>0</v>
      </c>
      <c r="H230" s="6">
        <v>0</v>
      </c>
      <c r="I230" s="6">
        <v>0</v>
      </c>
      <c r="J230" s="6">
        <v>2</v>
      </c>
      <c r="K230" s="7" t="str">
        <f t="shared" si="8"/>
        <v>1B</v>
      </c>
      <c r="L230" t="b">
        <f t="shared" si="7"/>
        <v>0</v>
      </c>
    </row>
    <row r="231" spans="1:12" x14ac:dyDescent="0.2">
      <c r="A231" t="s">
        <v>80</v>
      </c>
      <c r="B231" s="6">
        <v>0</v>
      </c>
      <c r="C231" s="6">
        <v>48</v>
      </c>
      <c r="D231" s="6">
        <v>0</v>
      </c>
      <c r="E231" s="6">
        <v>0</v>
      </c>
      <c r="F231" s="6">
        <v>0</v>
      </c>
      <c r="G231" s="6">
        <v>1</v>
      </c>
      <c r="H231" s="6">
        <v>0</v>
      </c>
      <c r="I231" s="6">
        <v>0</v>
      </c>
      <c r="J231" s="6">
        <v>21</v>
      </c>
      <c r="K231" s="7" t="str">
        <f t="shared" si="8"/>
        <v>1B</v>
      </c>
      <c r="L231" t="b">
        <f t="shared" si="7"/>
        <v>0</v>
      </c>
    </row>
    <row r="232" spans="1:12" x14ac:dyDescent="0.2">
      <c r="A232" t="s">
        <v>106</v>
      </c>
      <c r="B232" s="6">
        <v>0</v>
      </c>
      <c r="C232" s="6">
        <v>0</v>
      </c>
      <c r="D232" s="6">
        <v>0</v>
      </c>
      <c r="E232" s="6">
        <v>37</v>
      </c>
      <c r="F232" s="6">
        <v>0</v>
      </c>
      <c r="G232" s="6">
        <v>0</v>
      </c>
      <c r="H232" s="6">
        <v>0</v>
      </c>
      <c r="I232" s="6">
        <v>0</v>
      </c>
      <c r="J232" s="6">
        <v>7</v>
      </c>
      <c r="K232" s="7" t="str">
        <f t="shared" si="8"/>
        <v>3B</v>
      </c>
      <c r="L232" t="b">
        <f t="shared" si="7"/>
        <v>0</v>
      </c>
    </row>
    <row r="233" spans="1:12" x14ac:dyDescent="0.2">
      <c r="A233" t="s">
        <v>585</v>
      </c>
      <c r="B233" s="6">
        <v>9</v>
      </c>
      <c r="C233" s="6">
        <v>0</v>
      </c>
      <c r="D233" s="6">
        <v>0</v>
      </c>
      <c r="E233" s="6">
        <v>0</v>
      </c>
      <c r="F233" s="6">
        <v>0</v>
      </c>
      <c r="G233" s="6">
        <v>0</v>
      </c>
      <c r="H233" s="6">
        <v>0</v>
      </c>
      <c r="I233" s="6">
        <v>0</v>
      </c>
      <c r="J233" s="6">
        <v>0</v>
      </c>
      <c r="K233" s="7" t="str">
        <f t="shared" si="8"/>
        <v>C</v>
      </c>
      <c r="L233" t="b">
        <f t="shared" si="7"/>
        <v>0</v>
      </c>
    </row>
    <row r="234" spans="1:12" x14ac:dyDescent="0.2">
      <c r="A234" t="s">
        <v>586</v>
      </c>
      <c r="B234" s="6">
        <v>2</v>
      </c>
      <c r="C234" s="6">
        <v>0</v>
      </c>
      <c r="D234" s="6">
        <v>0</v>
      </c>
      <c r="E234" s="6">
        <v>0</v>
      </c>
      <c r="F234" s="6">
        <v>0</v>
      </c>
      <c r="G234" s="6">
        <v>0</v>
      </c>
      <c r="H234" s="6">
        <v>0</v>
      </c>
      <c r="I234" s="6">
        <v>0</v>
      </c>
      <c r="J234" s="6">
        <v>0</v>
      </c>
      <c r="K234" s="7" t="str">
        <f t="shared" si="8"/>
        <v>C</v>
      </c>
      <c r="L234" t="b">
        <f t="shared" si="7"/>
        <v>0</v>
      </c>
    </row>
    <row r="235" spans="1:12" x14ac:dyDescent="0.2">
      <c r="A235" t="s">
        <v>587</v>
      </c>
      <c r="B235" s="6">
        <v>0</v>
      </c>
      <c r="C235" s="6">
        <v>1</v>
      </c>
      <c r="D235" s="6">
        <v>6</v>
      </c>
      <c r="E235" s="6">
        <v>3</v>
      </c>
      <c r="F235" s="6">
        <v>0</v>
      </c>
      <c r="G235" s="6">
        <v>2</v>
      </c>
      <c r="H235" s="6">
        <v>0</v>
      </c>
      <c r="I235" s="6">
        <v>0</v>
      </c>
      <c r="J235" s="6">
        <v>1</v>
      </c>
      <c r="K235" s="7" t="str">
        <f t="shared" si="8"/>
        <v>2B</v>
      </c>
      <c r="L235" t="b">
        <f t="shared" si="7"/>
        <v>0</v>
      </c>
    </row>
    <row r="236" spans="1:12" x14ac:dyDescent="0.2">
      <c r="A236" t="s">
        <v>213</v>
      </c>
      <c r="B236" s="6">
        <v>0</v>
      </c>
      <c r="C236" s="6">
        <v>0</v>
      </c>
      <c r="D236" s="6">
        <v>17</v>
      </c>
      <c r="E236" s="6">
        <v>0</v>
      </c>
      <c r="F236" s="6">
        <v>0</v>
      </c>
      <c r="G236" s="6">
        <v>0</v>
      </c>
      <c r="H236" s="6">
        <v>0</v>
      </c>
      <c r="I236" s="6">
        <v>0</v>
      </c>
      <c r="J236" s="6">
        <v>0</v>
      </c>
      <c r="K236" s="7" t="str">
        <f t="shared" si="8"/>
        <v>2B</v>
      </c>
      <c r="L236" t="b">
        <f t="shared" si="7"/>
        <v>0</v>
      </c>
    </row>
    <row r="237" spans="1:12" x14ac:dyDescent="0.2">
      <c r="A237" t="s">
        <v>588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  <c r="G237" s="6">
        <v>4</v>
      </c>
      <c r="H237" s="6">
        <v>0</v>
      </c>
      <c r="I237" s="6">
        <v>0</v>
      </c>
      <c r="J237" s="6">
        <v>3</v>
      </c>
      <c r="K237" s="7" t="str">
        <f t="shared" si="8"/>
        <v>LF</v>
      </c>
      <c r="L237" t="b">
        <f t="shared" si="7"/>
        <v>0</v>
      </c>
    </row>
    <row r="238" spans="1:12" x14ac:dyDescent="0.2">
      <c r="A238" t="s">
        <v>407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6">
        <v>0</v>
      </c>
      <c r="H238" s="6">
        <v>56</v>
      </c>
      <c r="I238" s="6">
        <v>0</v>
      </c>
      <c r="J238" s="6">
        <v>0</v>
      </c>
      <c r="K238" s="7" t="str">
        <f t="shared" si="8"/>
        <v>CF</v>
      </c>
      <c r="L238" t="b">
        <f t="shared" si="7"/>
        <v>0</v>
      </c>
    </row>
    <row r="239" spans="1:12" x14ac:dyDescent="0.2">
      <c r="A239" t="s">
        <v>240</v>
      </c>
      <c r="B239" s="6">
        <v>18</v>
      </c>
      <c r="C239" s="6">
        <v>0</v>
      </c>
      <c r="D239" s="6">
        <v>0</v>
      </c>
      <c r="E239" s="6">
        <v>0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7" t="str">
        <f t="shared" si="8"/>
        <v>C</v>
      </c>
      <c r="L239" t="b">
        <f t="shared" si="7"/>
        <v>0</v>
      </c>
    </row>
    <row r="240" spans="1:12" x14ac:dyDescent="0.2">
      <c r="A240" t="s">
        <v>103</v>
      </c>
      <c r="B240" s="6">
        <v>0</v>
      </c>
      <c r="C240" s="6">
        <v>0</v>
      </c>
      <c r="D240" s="6">
        <v>61</v>
      </c>
      <c r="E240" s="6">
        <v>0</v>
      </c>
      <c r="F240" s="6">
        <v>0</v>
      </c>
      <c r="G240" s="6">
        <v>1</v>
      </c>
      <c r="H240" s="6">
        <v>0</v>
      </c>
      <c r="I240" s="6">
        <v>1</v>
      </c>
      <c r="J240" s="6">
        <v>2</v>
      </c>
      <c r="K240" s="7" t="str">
        <f t="shared" si="8"/>
        <v>2B</v>
      </c>
      <c r="L240" t="b">
        <f t="shared" si="7"/>
        <v>0</v>
      </c>
    </row>
    <row r="241" spans="1:12" x14ac:dyDescent="0.2">
      <c r="A241" t="s">
        <v>179</v>
      </c>
      <c r="B241" s="6">
        <v>37</v>
      </c>
      <c r="C241" s="6">
        <v>0</v>
      </c>
      <c r="D241" s="6">
        <v>0</v>
      </c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1</v>
      </c>
      <c r="K241" s="7" t="str">
        <f t="shared" si="8"/>
        <v>C</v>
      </c>
      <c r="L241" t="b">
        <f t="shared" si="7"/>
        <v>0</v>
      </c>
    </row>
    <row r="242" spans="1:12" x14ac:dyDescent="0.2">
      <c r="A242" t="s">
        <v>451</v>
      </c>
      <c r="B242" s="6">
        <v>0</v>
      </c>
      <c r="C242" s="6">
        <v>0</v>
      </c>
      <c r="D242" s="6">
        <v>0</v>
      </c>
      <c r="E242" s="6">
        <v>0</v>
      </c>
      <c r="F242" s="6">
        <v>10</v>
      </c>
      <c r="G242" s="6">
        <v>0</v>
      </c>
      <c r="H242" s="6">
        <v>0</v>
      </c>
      <c r="I242" s="6">
        <v>0</v>
      </c>
      <c r="J242" s="6">
        <v>0</v>
      </c>
      <c r="K242" s="7" t="str">
        <f t="shared" si="8"/>
        <v>SS</v>
      </c>
      <c r="L242" t="b">
        <f t="shared" si="7"/>
        <v>0</v>
      </c>
    </row>
    <row r="243" spans="1:12" x14ac:dyDescent="0.2">
      <c r="A243" t="s">
        <v>107</v>
      </c>
      <c r="B243" s="6">
        <v>34</v>
      </c>
      <c r="C243" s="6">
        <v>0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4</v>
      </c>
      <c r="K243" s="7" t="str">
        <f t="shared" si="8"/>
        <v>C</v>
      </c>
      <c r="L243" t="b">
        <f t="shared" si="7"/>
        <v>0</v>
      </c>
    </row>
    <row r="244" spans="1:12" x14ac:dyDescent="0.2">
      <c r="A244" t="s">
        <v>318</v>
      </c>
      <c r="B244" s="6">
        <v>56</v>
      </c>
      <c r="C244" s="6">
        <v>0</v>
      </c>
      <c r="D244" s="6">
        <v>0</v>
      </c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33</v>
      </c>
      <c r="K244" s="7" t="str">
        <f t="shared" si="8"/>
        <v>C</v>
      </c>
      <c r="L244" t="b">
        <f t="shared" si="7"/>
        <v>0</v>
      </c>
    </row>
    <row r="245" spans="1:12" x14ac:dyDescent="0.2">
      <c r="A245" t="s">
        <v>589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9</v>
      </c>
      <c r="K245" s="7" t="str">
        <f t="shared" si="8"/>
        <v>DH</v>
      </c>
      <c r="L245" t="b">
        <f t="shared" si="7"/>
        <v>0</v>
      </c>
    </row>
    <row r="246" spans="1:12" x14ac:dyDescent="0.2">
      <c r="A246" t="s">
        <v>590</v>
      </c>
      <c r="B246" s="6">
        <v>0</v>
      </c>
      <c r="C246" s="6">
        <v>1</v>
      </c>
      <c r="D246" s="6">
        <v>7</v>
      </c>
      <c r="E246" s="6">
        <v>23</v>
      </c>
      <c r="F246" s="6">
        <v>1</v>
      </c>
      <c r="G246" s="6">
        <v>0</v>
      </c>
      <c r="H246" s="6">
        <v>0</v>
      </c>
      <c r="I246" s="6">
        <v>0</v>
      </c>
      <c r="J246" s="6">
        <v>9</v>
      </c>
      <c r="K246" s="7" t="str">
        <f t="shared" si="8"/>
        <v>3B</v>
      </c>
      <c r="L246" t="b">
        <f t="shared" si="7"/>
        <v>0</v>
      </c>
    </row>
    <row r="247" spans="1:12" x14ac:dyDescent="0.2">
      <c r="A247" t="s">
        <v>243</v>
      </c>
      <c r="B247" s="6">
        <v>0</v>
      </c>
      <c r="C247" s="6">
        <v>3</v>
      </c>
      <c r="D247" s="6">
        <v>0</v>
      </c>
      <c r="E247" s="6">
        <v>0</v>
      </c>
      <c r="F247" s="6">
        <v>0</v>
      </c>
      <c r="G247" s="6">
        <v>3</v>
      </c>
      <c r="H247" s="6">
        <v>0</v>
      </c>
      <c r="I247" s="6">
        <v>14</v>
      </c>
      <c r="J247" s="6">
        <v>0</v>
      </c>
      <c r="K247" s="7" t="str">
        <f t="shared" si="8"/>
        <v>RF</v>
      </c>
      <c r="L247" t="b">
        <f t="shared" si="7"/>
        <v>0</v>
      </c>
    </row>
    <row r="248" spans="1:12" x14ac:dyDescent="0.2">
      <c r="A248" t="s">
        <v>512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6">
        <v>7</v>
      </c>
      <c r="H248" s="6">
        <v>5</v>
      </c>
      <c r="I248" s="6">
        <v>9</v>
      </c>
      <c r="J248" s="6">
        <v>5</v>
      </c>
      <c r="K248" s="7" t="str">
        <f t="shared" si="8"/>
        <v>RF</v>
      </c>
      <c r="L248" t="b">
        <f t="shared" si="7"/>
        <v>0</v>
      </c>
    </row>
    <row r="249" spans="1:12" x14ac:dyDescent="0.2">
      <c r="A249" t="s">
        <v>591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6">
        <v>4</v>
      </c>
      <c r="H249" s="6">
        <v>5</v>
      </c>
      <c r="I249" s="6">
        <v>0</v>
      </c>
      <c r="J249" s="6">
        <v>0</v>
      </c>
      <c r="K249" s="7" t="str">
        <f t="shared" si="8"/>
        <v>CF</v>
      </c>
      <c r="L249" t="b">
        <f t="shared" si="7"/>
        <v>0</v>
      </c>
    </row>
    <row r="250" spans="1:12" x14ac:dyDescent="0.2">
      <c r="A250" t="s">
        <v>592</v>
      </c>
      <c r="B250" s="6">
        <v>0</v>
      </c>
      <c r="C250" s="6">
        <v>0</v>
      </c>
      <c r="D250" s="6">
        <v>1</v>
      </c>
      <c r="E250" s="6">
        <v>0</v>
      </c>
      <c r="F250" s="6">
        <v>0</v>
      </c>
      <c r="G250" s="6">
        <v>1</v>
      </c>
      <c r="H250" s="6">
        <v>0</v>
      </c>
      <c r="I250" s="6">
        <v>0</v>
      </c>
      <c r="J250" s="6">
        <v>0</v>
      </c>
      <c r="K250" s="7" t="str">
        <f t="shared" si="8"/>
        <v>2B</v>
      </c>
      <c r="L250" t="b">
        <f t="shared" si="7"/>
        <v>1</v>
      </c>
    </row>
    <row r="251" spans="1:12" x14ac:dyDescent="0.2">
      <c r="A251" t="s">
        <v>398</v>
      </c>
      <c r="B251" s="6">
        <v>0</v>
      </c>
      <c r="C251" s="6">
        <v>18</v>
      </c>
      <c r="D251" s="6">
        <v>0</v>
      </c>
      <c r="E251" s="6">
        <v>0</v>
      </c>
      <c r="F251" s="6">
        <v>0</v>
      </c>
      <c r="G251" s="6">
        <v>26</v>
      </c>
      <c r="H251" s="6">
        <v>0</v>
      </c>
      <c r="I251" s="6">
        <v>38</v>
      </c>
      <c r="J251" s="6">
        <v>13</v>
      </c>
      <c r="K251" s="7" t="str">
        <f t="shared" si="8"/>
        <v>RF</v>
      </c>
      <c r="L251" t="b">
        <f t="shared" si="7"/>
        <v>0</v>
      </c>
    </row>
    <row r="252" spans="1:12" x14ac:dyDescent="0.2">
      <c r="A252" t="s">
        <v>593</v>
      </c>
      <c r="B252" s="6">
        <v>0</v>
      </c>
      <c r="C252" s="6">
        <v>0</v>
      </c>
      <c r="D252" s="6">
        <v>1</v>
      </c>
      <c r="E252" s="6">
        <v>0</v>
      </c>
      <c r="F252" s="6">
        <v>0</v>
      </c>
      <c r="G252" s="6">
        <v>6</v>
      </c>
      <c r="H252" s="6">
        <v>0</v>
      </c>
      <c r="I252" s="6">
        <v>4</v>
      </c>
      <c r="J252" s="6">
        <v>0</v>
      </c>
      <c r="K252" s="7" t="str">
        <f t="shared" si="8"/>
        <v>LF</v>
      </c>
      <c r="L252" t="b">
        <f t="shared" si="7"/>
        <v>0</v>
      </c>
    </row>
    <row r="253" spans="1:12" x14ac:dyDescent="0.2">
      <c r="A253" t="s">
        <v>202</v>
      </c>
      <c r="B253" s="6">
        <v>0</v>
      </c>
      <c r="C253" s="6">
        <v>0</v>
      </c>
      <c r="D253" s="6">
        <v>0</v>
      </c>
      <c r="E253" s="6">
        <v>0</v>
      </c>
      <c r="F253" s="6">
        <v>0</v>
      </c>
      <c r="G253" s="6">
        <v>4</v>
      </c>
      <c r="H253" s="6">
        <v>0</v>
      </c>
      <c r="I253" s="6">
        <v>4</v>
      </c>
      <c r="J253" s="6">
        <v>38</v>
      </c>
      <c r="K253" s="7" t="str">
        <f t="shared" si="8"/>
        <v>DH</v>
      </c>
      <c r="L253" t="b">
        <f t="shared" si="7"/>
        <v>0</v>
      </c>
    </row>
    <row r="254" spans="1:12" x14ac:dyDescent="0.2">
      <c r="A254" t="s">
        <v>428</v>
      </c>
      <c r="B254" s="6">
        <v>0</v>
      </c>
      <c r="C254" s="6">
        <v>0</v>
      </c>
      <c r="D254" s="6">
        <v>0</v>
      </c>
      <c r="E254" s="6">
        <v>0</v>
      </c>
      <c r="F254" s="6">
        <v>0</v>
      </c>
      <c r="G254" s="6">
        <v>0</v>
      </c>
      <c r="H254" s="6">
        <v>18</v>
      </c>
      <c r="I254" s="6">
        <v>7</v>
      </c>
      <c r="J254" s="6">
        <v>4</v>
      </c>
      <c r="K254" s="7" t="str">
        <f t="shared" si="8"/>
        <v>CF</v>
      </c>
      <c r="L254" t="b">
        <f t="shared" si="7"/>
        <v>0</v>
      </c>
    </row>
    <row r="255" spans="1:12" x14ac:dyDescent="0.2">
      <c r="A255" t="s">
        <v>232</v>
      </c>
      <c r="B255" s="6">
        <v>0</v>
      </c>
      <c r="C255" s="6">
        <v>5</v>
      </c>
      <c r="D255" s="6">
        <v>0</v>
      </c>
      <c r="E255" s="6">
        <v>20</v>
      </c>
      <c r="F255" s="6">
        <v>0</v>
      </c>
      <c r="G255" s="6">
        <v>0</v>
      </c>
      <c r="H255" s="6">
        <v>0</v>
      </c>
      <c r="I255" s="6">
        <v>0</v>
      </c>
      <c r="J255" s="6">
        <v>0</v>
      </c>
      <c r="K255" s="7" t="str">
        <f t="shared" si="8"/>
        <v>3B</v>
      </c>
      <c r="L255" t="b">
        <f t="shared" si="7"/>
        <v>0</v>
      </c>
    </row>
    <row r="256" spans="1:12" x14ac:dyDescent="0.2">
      <c r="A256" t="s">
        <v>33</v>
      </c>
      <c r="B256" s="6">
        <v>0</v>
      </c>
      <c r="C256" s="6">
        <v>0</v>
      </c>
      <c r="D256" s="6">
        <v>0</v>
      </c>
      <c r="E256" s="6">
        <v>0</v>
      </c>
      <c r="F256" s="6">
        <v>0</v>
      </c>
      <c r="G256" s="6">
        <v>0</v>
      </c>
      <c r="H256" s="6">
        <v>0</v>
      </c>
      <c r="I256" s="6">
        <v>53</v>
      </c>
      <c r="J256" s="6">
        <v>6</v>
      </c>
      <c r="K256" s="7" t="str">
        <f t="shared" si="8"/>
        <v>RF</v>
      </c>
      <c r="L256" t="b">
        <f t="shared" si="7"/>
        <v>0</v>
      </c>
    </row>
    <row r="257" spans="1:12" x14ac:dyDescent="0.2">
      <c r="A257" t="s">
        <v>400</v>
      </c>
      <c r="B257" s="6">
        <v>0</v>
      </c>
      <c r="C257" s="6">
        <v>12</v>
      </c>
      <c r="D257" s="6">
        <v>64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9</v>
      </c>
      <c r="K257" s="7" t="str">
        <f t="shared" si="8"/>
        <v>2B</v>
      </c>
      <c r="L257" t="b">
        <f t="shared" si="7"/>
        <v>0</v>
      </c>
    </row>
    <row r="258" spans="1:12" x14ac:dyDescent="0.2">
      <c r="A258" t="s">
        <v>594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0</v>
      </c>
      <c r="H258" s="6">
        <v>0</v>
      </c>
      <c r="I258" s="6">
        <v>0</v>
      </c>
      <c r="J258" s="6">
        <v>3</v>
      </c>
      <c r="K258" s="7" t="str">
        <f t="shared" si="8"/>
        <v>DH</v>
      </c>
      <c r="L258" t="b">
        <f t="shared" si="7"/>
        <v>0</v>
      </c>
    </row>
    <row r="259" spans="1:12" x14ac:dyDescent="0.2">
      <c r="A259" t="s">
        <v>74</v>
      </c>
      <c r="B259" s="6">
        <v>0</v>
      </c>
      <c r="C259" s="6">
        <v>0</v>
      </c>
      <c r="D259" s="6">
        <v>0</v>
      </c>
      <c r="E259" s="6">
        <v>87</v>
      </c>
      <c r="F259" s="6">
        <v>0</v>
      </c>
      <c r="G259" s="6">
        <v>0</v>
      </c>
      <c r="H259" s="6">
        <v>0</v>
      </c>
      <c r="I259" s="6">
        <v>0</v>
      </c>
      <c r="J259" s="6">
        <v>0</v>
      </c>
      <c r="K259" s="7" t="str">
        <f t="shared" si="8"/>
        <v>3B</v>
      </c>
      <c r="L259" t="b">
        <f t="shared" ref="L259:L322" si="9">COUNTIF(B259:J259, MAX(B259:J259)) &gt; 1</f>
        <v>0</v>
      </c>
    </row>
    <row r="260" spans="1:12" x14ac:dyDescent="0.2">
      <c r="A260" t="s">
        <v>76</v>
      </c>
      <c r="B260" s="6">
        <v>0</v>
      </c>
      <c r="C260" s="6">
        <v>0</v>
      </c>
      <c r="D260" s="6">
        <v>0</v>
      </c>
      <c r="E260" s="6">
        <v>91</v>
      </c>
      <c r="F260" s="6">
        <v>0</v>
      </c>
      <c r="G260" s="6">
        <v>0</v>
      </c>
      <c r="H260" s="6">
        <v>0</v>
      </c>
      <c r="I260" s="6">
        <v>0</v>
      </c>
      <c r="J260" s="6">
        <v>0</v>
      </c>
      <c r="K260" s="7" t="str">
        <f t="shared" si="8"/>
        <v>3B</v>
      </c>
      <c r="L260" t="b">
        <f t="shared" si="9"/>
        <v>0</v>
      </c>
    </row>
    <row r="261" spans="1:12" x14ac:dyDescent="0.2">
      <c r="A261" t="s">
        <v>595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  <c r="G261" s="6">
        <v>5</v>
      </c>
      <c r="H261" s="6">
        <v>0</v>
      </c>
      <c r="I261" s="6">
        <v>4</v>
      </c>
      <c r="J261" s="6">
        <v>0</v>
      </c>
      <c r="K261" s="7" t="str">
        <f t="shared" si="8"/>
        <v>LF</v>
      </c>
      <c r="L261" t="b">
        <f t="shared" si="9"/>
        <v>0</v>
      </c>
    </row>
    <row r="262" spans="1:12" x14ac:dyDescent="0.2">
      <c r="A262" t="s">
        <v>141</v>
      </c>
      <c r="B262" s="6">
        <v>0</v>
      </c>
      <c r="C262" s="6">
        <v>0</v>
      </c>
      <c r="D262" s="6">
        <v>75</v>
      </c>
      <c r="E262" s="6">
        <v>0</v>
      </c>
      <c r="F262" s="6">
        <v>0</v>
      </c>
      <c r="G262" s="6">
        <v>0</v>
      </c>
      <c r="H262" s="6">
        <v>5</v>
      </c>
      <c r="I262" s="6">
        <v>11</v>
      </c>
      <c r="J262" s="6">
        <v>0</v>
      </c>
      <c r="K262" s="7" t="str">
        <f t="shared" si="8"/>
        <v>2B</v>
      </c>
      <c r="L262" t="b">
        <f t="shared" si="9"/>
        <v>0</v>
      </c>
    </row>
    <row r="263" spans="1:12" x14ac:dyDescent="0.2">
      <c r="A263" t="s">
        <v>347</v>
      </c>
      <c r="B263" s="6">
        <v>0</v>
      </c>
      <c r="C263" s="6">
        <v>7</v>
      </c>
      <c r="D263" s="6">
        <v>0</v>
      </c>
      <c r="E263" s="6">
        <v>45</v>
      </c>
      <c r="F263" s="6">
        <v>0</v>
      </c>
      <c r="G263" s="6">
        <v>0</v>
      </c>
      <c r="H263" s="6">
        <v>0</v>
      </c>
      <c r="I263" s="6">
        <v>0</v>
      </c>
      <c r="J263" s="6">
        <v>30</v>
      </c>
      <c r="K263" s="7" t="str">
        <f t="shared" si="8"/>
        <v>3B</v>
      </c>
      <c r="L263" t="b">
        <f t="shared" si="9"/>
        <v>0</v>
      </c>
    </row>
    <row r="264" spans="1:12" x14ac:dyDescent="0.2">
      <c r="A264" t="s">
        <v>447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  <c r="G264" s="6">
        <v>7</v>
      </c>
      <c r="H264" s="6">
        <v>0</v>
      </c>
      <c r="I264" s="6">
        <v>19</v>
      </c>
      <c r="J264" s="6">
        <v>0</v>
      </c>
      <c r="K264" s="7" t="str">
        <f t="shared" si="8"/>
        <v>RF</v>
      </c>
      <c r="L264" t="b">
        <f t="shared" si="9"/>
        <v>0</v>
      </c>
    </row>
    <row r="265" spans="1:12" x14ac:dyDescent="0.2">
      <c r="A265" t="s">
        <v>115</v>
      </c>
      <c r="B265" s="6">
        <v>60</v>
      </c>
      <c r="C265" s="6">
        <v>3</v>
      </c>
      <c r="D265" s="6">
        <v>0</v>
      </c>
      <c r="E265" s="6">
        <v>0</v>
      </c>
      <c r="F265" s="6">
        <v>0</v>
      </c>
      <c r="G265" s="6">
        <v>0</v>
      </c>
      <c r="H265" s="6">
        <v>0</v>
      </c>
      <c r="I265" s="6">
        <v>0</v>
      </c>
      <c r="J265" s="6">
        <v>5</v>
      </c>
      <c r="K265" s="7" t="str">
        <f t="shared" si="8"/>
        <v>C</v>
      </c>
      <c r="L265" t="b">
        <f t="shared" si="9"/>
        <v>0</v>
      </c>
    </row>
    <row r="266" spans="1:12" x14ac:dyDescent="0.2">
      <c r="A266" t="s">
        <v>596</v>
      </c>
      <c r="B266" s="6">
        <v>0</v>
      </c>
      <c r="C266" s="6">
        <v>0</v>
      </c>
      <c r="D266" s="6">
        <v>1</v>
      </c>
      <c r="E266" s="6">
        <v>0</v>
      </c>
      <c r="F266" s="6">
        <v>0</v>
      </c>
      <c r="G266" s="6">
        <v>12</v>
      </c>
      <c r="H266" s="6">
        <v>0</v>
      </c>
      <c r="I266" s="6">
        <v>0</v>
      </c>
      <c r="J266" s="6">
        <v>0</v>
      </c>
      <c r="K266" s="7" t="str">
        <f t="shared" ref="K266:K329" si="10">INDEX($B$1:$J$1, MATCH(MAX(B266:J266), B266:J266, 0))</f>
        <v>LF</v>
      </c>
      <c r="L266" t="b">
        <f t="shared" si="9"/>
        <v>0</v>
      </c>
    </row>
    <row r="267" spans="1:12" x14ac:dyDescent="0.2">
      <c r="A267" t="s">
        <v>597</v>
      </c>
      <c r="B267" s="6">
        <v>0</v>
      </c>
      <c r="C267" s="6">
        <v>0</v>
      </c>
      <c r="D267" s="6">
        <v>2</v>
      </c>
      <c r="E267" s="6">
        <v>4</v>
      </c>
      <c r="F267" s="6">
        <v>0</v>
      </c>
      <c r="G267" s="6">
        <v>0</v>
      </c>
      <c r="H267" s="6">
        <v>0</v>
      </c>
      <c r="I267" s="6">
        <v>0</v>
      </c>
      <c r="J267" s="6">
        <v>1</v>
      </c>
      <c r="K267" s="7" t="str">
        <f t="shared" si="10"/>
        <v>3B</v>
      </c>
      <c r="L267" t="b">
        <f t="shared" si="9"/>
        <v>0</v>
      </c>
    </row>
    <row r="268" spans="1:12" x14ac:dyDescent="0.2">
      <c r="A268" t="s">
        <v>448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  <c r="G268" s="6">
        <v>10</v>
      </c>
      <c r="H268" s="6">
        <v>0</v>
      </c>
      <c r="I268" s="6">
        <v>0</v>
      </c>
      <c r="J268" s="6">
        <v>2</v>
      </c>
      <c r="K268" s="7" t="str">
        <f t="shared" si="10"/>
        <v>LF</v>
      </c>
      <c r="L268" t="b">
        <f t="shared" si="9"/>
        <v>0</v>
      </c>
    </row>
    <row r="269" spans="1:12" x14ac:dyDescent="0.2">
      <c r="A269" t="s">
        <v>452</v>
      </c>
      <c r="B269" s="6">
        <v>0</v>
      </c>
      <c r="C269" s="6">
        <v>4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0</v>
      </c>
      <c r="J269" s="6">
        <v>5</v>
      </c>
      <c r="K269" s="7" t="str">
        <f t="shared" si="10"/>
        <v>DH</v>
      </c>
      <c r="L269" t="b">
        <f t="shared" si="9"/>
        <v>0</v>
      </c>
    </row>
    <row r="270" spans="1:12" x14ac:dyDescent="0.2">
      <c r="A270" t="s">
        <v>267</v>
      </c>
      <c r="B270" s="6">
        <v>0</v>
      </c>
      <c r="C270" s="6">
        <v>0</v>
      </c>
      <c r="D270" s="6">
        <v>0</v>
      </c>
      <c r="E270" s="6">
        <v>0</v>
      </c>
      <c r="F270" s="6">
        <v>25</v>
      </c>
      <c r="G270" s="6">
        <v>0</v>
      </c>
      <c r="H270" s="6">
        <v>0</v>
      </c>
      <c r="I270" s="6">
        <v>0</v>
      </c>
      <c r="J270" s="6">
        <v>0</v>
      </c>
      <c r="K270" s="7" t="str">
        <f t="shared" si="10"/>
        <v>SS</v>
      </c>
      <c r="L270" t="b">
        <f t="shared" si="9"/>
        <v>0</v>
      </c>
    </row>
    <row r="271" spans="1:12" x14ac:dyDescent="0.2">
      <c r="A271" t="s">
        <v>438</v>
      </c>
      <c r="B271" s="6">
        <v>0</v>
      </c>
      <c r="C271" s="6">
        <v>0</v>
      </c>
      <c r="D271" s="6">
        <v>16</v>
      </c>
      <c r="E271" s="6">
        <v>0</v>
      </c>
      <c r="F271" s="6">
        <v>27</v>
      </c>
      <c r="G271" s="6">
        <v>1</v>
      </c>
      <c r="H271" s="6">
        <v>0</v>
      </c>
      <c r="I271" s="6">
        <v>0</v>
      </c>
      <c r="J271" s="6">
        <v>0</v>
      </c>
      <c r="K271" s="7" t="str">
        <f t="shared" si="10"/>
        <v>SS</v>
      </c>
      <c r="L271" t="b">
        <f t="shared" si="9"/>
        <v>0</v>
      </c>
    </row>
    <row r="272" spans="1:12" x14ac:dyDescent="0.2">
      <c r="A272" t="s">
        <v>199</v>
      </c>
      <c r="B272" s="6">
        <v>0</v>
      </c>
      <c r="C272" s="6">
        <v>1</v>
      </c>
      <c r="D272" s="6">
        <v>27</v>
      </c>
      <c r="E272" s="6">
        <v>8</v>
      </c>
      <c r="F272" s="6">
        <v>16</v>
      </c>
      <c r="G272" s="6">
        <v>0</v>
      </c>
      <c r="H272" s="6">
        <v>0</v>
      </c>
      <c r="I272" s="6">
        <v>0</v>
      </c>
      <c r="J272" s="6">
        <v>1</v>
      </c>
      <c r="K272" s="7" t="str">
        <f t="shared" si="10"/>
        <v>2B</v>
      </c>
      <c r="L272" t="b">
        <f t="shared" si="9"/>
        <v>0</v>
      </c>
    </row>
    <row r="273" spans="1:12" x14ac:dyDescent="0.2">
      <c r="A273" t="s">
        <v>598</v>
      </c>
      <c r="B273" s="6">
        <v>0</v>
      </c>
      <c r="C273" s="6">
        <v>0</v>
      </c>
      <c r="D273" s="6">
        <v>1</v>
      </c>
      <c r="E273" s="6">
        <v>1</v>
      </c>
      <c r="F273" s="6">
        <v>0</v>
      </c>
      <c r="G273" s="6">
        <v>0</v>
      </c>
      <c r="H273" s="6">
        <v>0</v>
      </c>
      <c r="I273" s="6">
        <v>0</v>
      </c>
      <c r="J273" s="6">
        <v>2</v>
      </c>
      <c r="K273" s="7" t="str">
        <f t="shared" si="10"/>
        <v>DH</v>
      </c>
      <c r="L273" t="b">
        <f t="shared" si="9"/>
        <v>0</v>
      </c>
    </row>
    <row r="274" spans="1:12" x14ac:dyDescent="0.2">
      <c r="A274" t="s">
        <v>203</v>
      </c>
      <c r="B274" s="6">
        <v>24</v>
      </c>
      <c r="C274" s="6">
        <v>0</v>
      </c>
      <c r="D274" s="6">
        <v>0</v>
      </c>
      <c r="E274" s="6">
        <v>0</v>
      </c>
      <c r="F274" s="6">
        <v>0</v>
      </c>
      <c r="G274" s="6">
        <v>0</v>
      </c>
      <c r="H274" s="6">
        <v>0</v>
      </c>
      <c r="I274" s="6">
        <v>0</v>
      </c>
      <c r="J274" s="6">
        <v>0</v>
      </c>
      <c r="K274" s="7" t="str">
        <f t="shared" si="10"/>
        <v>C</v>
      </c>
      <c r="L274" t="b">
        <f t="shared" si="9"/>
        <v>0</v>
      </c>
    </row>
    <row r="275" spans="1:12" x14ac:dyDescent="0.2">
      <c r="A275" t="s">
        <v>599</v>
      </c>
      <c r="B275" s="6">
        <v>0</v>
      </c>
      <c r="C275" s="6">
        <v>0</v>
      </c>
      <c r="D275" s="6">
        <v>4</v>
      </c>
      <c r="E275" s="6">
        <v>0</v>
      </c>
      <c r="F275" s="6">
        <v>3</v>
      </c>
      <c r="G275" s="6">
        <v>0</v>
      </c>
      <c r="H275" s="6">
        <v>0</v>
      </c>
      <c r="I275" s="6">
        <v>0</v>
      </c>
      <c r="J275" s="6">
        <v>1</v>
      </c>
      <c r="K275" s="7" t="str">
        <f t="shared" si="10"/>
        <v>2B</v>
      </c>
      <c r="L275" t="b">
        <f t="shared" si="9"/>
        <v>0</v>
      </c>
    </row>
    <row r="276" spans="1:12" x14ac:dyDescent="0.2">
      <c r="A276" t="s">
        <v>134</v>
      </c>
      <c r="B276" s="6">
        <v>0</v>
      </c>
      <c r="C276" s="6">
        <v>0</v>
      </c>
      <c r="D276" s="6">
        <v>0</v>
      </c>
      <c r="E276" s="6">
        <v>6</v>
      </c>
      <c r="F276" s="6">
        <v>26</v>
      </c>
      <c r="G276" s="6">
        <v>3</v>
      </c>
      <c r="H276" s="6">
        <v>19</v>
      </c>
      <c r="I276" s="6">
        <v>0</v>
      </c>
      <c r="J276" s="6">
        <v>0</v>
      </c>
      <c r="K276" s="7" t="str">
        <f t="shared" si="10"/>
        <v>SS</v>
      </c>
      <c r="L276" t="b">
        <f t="shared" si="9"/>
        <v>0</v>
      </c>
    </row>
    <row r="277" spans="1:12" x14ac:dyDescent="0.2">
      <c r="A277" t="s">
        <v>600</v>
      </c>
      <c r="B277" s="6">
        <v>0</v>
      </c>
      <c r="C277" s="6">
        <v>0</v>
      </c>
      <c r="D277" s="6">
        <v>4</v>
      </c>
      <c r="E277" s="6">
        <v>7</v>
      </c>
      <c r="F277" s="6">
        <v>2</v>
      </c>
      <c r="G277" s="6">
        <v>0</v>
      </c>
      <c r="H277" s="6">
        <v>0</v>
      </c>
      <c r="I277" s="6">
        <v>0</v>
      </c>
      <c r="J277" s="6">
        <v>0</v>
      </c>
      <c r="K277" s="7" t="str">
        <f t="shared" si="10"/>
        <v>3B</v>
      </c>
      <c r="L277" t="b">
        <f t="shared" si="9"/>
        <v>0</v>
      </c>
    </row>
    <row r="278" spans="1:12" x14ac:dyDescent="0.2">
      <c r="A278" t="s">
        <v>286</v>
      </c>
      <c r="B278" s="6">
        <v>0</v>
      </c>
      <c r="C278" s="6">
        <v>89</v>
      </c>
      <c r="D278" s="6">
        <v>0</v>
      </c>
      <c r="E278" s="6">
        <v>0</v>
      </c>
      <c r="F278" s="6">
        <v>0</v>
      </c>
      <c r="G278" s="6">
        <v>0</v>
      </c>
      <c r="H278" s="6">
        <v>0</v>
      </c>
      <c r="I278" s="6">
        <v>0</v>
      </c>
      <c r="J278" s="6">
        <v>2</v>
      </c>
      <c r="K278" s="7" t="str">
        <f t="shared" si="10"/>
        <v>1B</v>
      </c>
      <c r="L278" t="b">
        <f t="shared" si="9"/>
        <v>0</v>
      </c>
    </row>
    <row r="279" spans="1:12" x14ac:dyDescent="0.2">
      <c r="A279" t="s">
        <v>435</v>
      </c>
      <c r="B279" s="6">
        <v>0</v>
      </c>
      <c r="C279" s="6">
        <v>0</v>
      </c>
      <c r="D279" s="6">
        <v>0</v>
      </c>
      <c r="E279" s="6">
        <v>0</v>
      </c>
      <c r="F279" s="6">
        <v>0</v>
      </c>
      <c r="G279" s="6">
        <v>53</v>
      </c>
      <c r="H279" s="6">
        <v>53</v>
      </c>
      <c r="I279" s="6">
        <v>0</v>
      </c>
      <c r="J279" s="6">
        <v>0</v>
      </c>
      <c r="K279" s="7" t="str">
        <f t="shared" si="10"/>
        <v>LF</v>
      </c>
      <c r="L279" t="b">
        <f t="shared" si="9"/>
        <v>1</v>
      </c>
    </row>
    <row r="280" spans="1:12" x14ac:dyDescent="0.2">
      <c r="A280" t="s">
        <v>17</v>
      </c>
      <c r="B280" s="6">
        <v>69</v>
      </c>
      <c r="C280" s="6">
        <v>0</v>
      </c>
      <c r="D280" s="6">
        <v>0</v>
      </c>
      <c r="E280" s="6">
        <v>0</v>
      </c>
      <c r="F280" s="6">
        <v>0</v>
      </c>
      <c r="G280" s="6">
        <v>0</v>
      </c>
      <c r="H280" s="6">
        <v>0</v>
      </c>
      <c r="I280" s="6">
        <v>0</v>
      </c>
      <c r="J280" s="6">
        <v>19</v>
      </c>
      <c r="K280" s="7" t="str">
        <f t="shared" si="10"/>
        <v>C</v>
      </c>
      <c r="L280" t="b">
        <f t="shared" si="9"/>
        <v>0</v>
      </c>
    </row>
    <row r="281" spans="1:12" x14ac:dyDescent="0.2">
      <c r="A281" t="s">
        <v>82</v>
      </c>
      <c r="B281" s="6">
        <v>0</v>
      </c>
      <c r="C281" s="6">
        <v>0</v>
      </c>
      <c r="D281" s="6">
        <v>0</v>
      </c>
      <c r="E281" s="6">
        <v>0</v>
      </c>
      <c r="F281" s="6">
        <v>0</v>
      </c>
      <c r="G281" s="6">
        <v>32</v>
      </c>
      <c r="H281" s="6">
        <v>15</v>
      </c>
      <c r="I281" s="6">
        <v>0</v>
      </c>
      <c r="J281" s="6">
        <v>4</v>
      </c>
      <c r="K281" s="7" t="str">
        <f t="shared" si="10"/>
        <v>LF</v>
      </c>
      <c r="L281" t="b">
        <f t="shared" si="9"/>
        <v>0</v>
      </c>
    </row>
    <row r="282" spans="1:12" x14ac:dyDescent="0.2">
      <c r="A282" t="s">
        <v>601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  <c r="G282" s="6">
        <v>1</v>
      </c>
      <c r="H282" s="6">
        <v>1</v>
      </c>
      <c r="I282" s="6">
        <v>3</v>
      </c>
      <c r="J282" s="6">
        <v>0</v>
      </c>
      <c r="K282" s="7" t="str">
        <f t="shared" si="10"/>
        <v>RF</v>
      </c>
      <c r="L282" t="b">
        <f t="shared" si="9"/>
        <v>0</v>
      </c>
    </row>
    <row r="283" spans="1:12" x14ac:dyDescent="0.2">
      <c r="A283" t="s">
        <v>357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  <c r="G283" s="6">
        <v>72</v>
      </c>
      <c r="H283" s="6">
        <v>0</v>
      </c>
      <c r="I283" s="6">
        <v>0</v>
      </c>
      <c r="J283" s="6">
        <v>2</v>
      </c>
      <c r="K283" s="7" t="str">
        <f t="shared" si="10"/>
        <v>LF</v>
      </c>
      <c r="L283" t="b">
        <f t="shared" si="9"/>
        <v>0</v>
      </c>
    </row>
    <row r="284" spans="1:12" x14ac:dyDescent="0.2">
      <c r="A284" t="s">
        <v>602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  <c r="G284" s="6">
        <v>45</v>
      </c>
      <c r="H284" s="6">
        <v>0</v>
      </c>
      <c r="I284" s="6">
        <v>6</v>
      </c>
      <c r="J284" s="6">
        <v>1</v>
      </c>
      <c r="K284" s="7" t="str">
        <f t="shared" si="10"/>
        <v>LF</v>
      </c>
      <c r="L284" t="b">
        <f t="shared" si="9"/>
        <v>0</v>
      </c>
    </row>
    <row r="285" spans="1:12" x14ac:dyDescent="0.2">
      <c r="A285" t="s">
        <v>245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6">
        <v>9</v>
      </c>
      <c r="H285" s="6">
        <v>7</v>
      </c>
      <c r="I285" s="6">
        <v>0</v>
      </c>
      <c r="J285" s="6">
        <v>0</v>
      </c>
      <c r="K285" s="7" t="str">
        <f t="shared" si="10"/>
        <v>LF</v>
      </c>
      <c r="L285" t="b">
        <f t="shared" si="9"/>
        <v>0</v>
      </c>
    </row>
    <row r="286" spans="1:12" x14ac:dyDescent="0.2">
      <c r="A286" t="s">
        <v>465</v>
      </c>
      <c r="B286" s="6">
        <v>0</v>
      </c>
      <c r="C286" s="6">
        <v>0</v>
      </c>
      <c r="D286" s="6">
        <v>0</v>
      </c>
      <c r="E286" s="6">
        <v>47</v>
      </c>
      <c r="F286" s="6">
        <v>46</v>
      </c>
      <c r="G286" s="6">
        <v>0</v>
      </c>
      <c r="H286" s="6">
        <v>0</v>
      </c>
      <c r="I286" s="6">
        <v>0</v>
      </c>
      <c r="J286" s="6">
        <v>0</v>
      </c>
      <c r="K286" s="7" t="str">
        <f t="shared" si="10"/>
        <v>3B</v>
      </c>
      <c r="L286" t="b">
        <f t="shared" si="9"/>
        <v>0</v>
      </c>
    </row>
    <row r="287" spans="1:12" x14ac:dyDescent="0.2">
      <c r="A287" t="s">
        <v>150</v>
      </c>
      <c r="B287" s="6">
        <v>0</v>
      </c>
      <c r="C287" s="6">
        <v>0</v>
      </c>
      <c r="D287" s="6">
        <v>43</v>
      </c>
      <c r="E287" s="6">
        <v>12</v>
      </c>
      <c r="F287" s="6">
        <v>0</v>
      </c>
      <c r="G287" s="6">
        <v>0</v>
      </c>
      <c r="H287" s="6">
        <v>0</v>
      </c>
      <c r="I287" s="6">
        <v>0</v>
      </c>
      <c r="J287" s="6">
        <v>1</v>
      </c>
      <c r="K287" s="7" t="str">
        <f t="shared" si="10"/>
        <v>2B</v>
      </c>
      <c r="L287" t="b">
        <f t="shared" si="9"/>
        <v>0</v>
      </c>
    </row>
    <row r="288" spans="1:12" x14ac:dyDescent="0.2">
      <c r="A288" t="s">
        <v>379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  <c r="G288" s="6">
        <v>0</v>
      </c>
      <c r="H288" s="6">
        <v>17</v>
      </c>
      <c r="I288" s="6">
        <v>79</v>
      </c>
      <c r="J288" s="6">
        <v>0</v>
      </c>
      <c r="K288" s="7" t="str">
        <f t="shared" si="10"/>
        <v>RF</v>
      </c>
      <c r="L288" t="b">
        <f t="shared" si="9"/>
        <v>0</v>
      </c>
    </row>
    <row r="289" spans="1:12" x14ac:dyDescent="0.2">
      <c r="A289" t="s">
        <v>603</v>
      </c>
      <c r="B289" s="6">
        <v>21</v>
      </c>
      <c r="C289" s="6">
        <v>0</v>
      </c>
      <c r="D289" s="6">
        <v>0</v>
      </c>
      <c r="E289" s="6">
        <v>0</v>
      </c>
      <c r="F289" s="6">
        <v>0</v>
      </c>
      <c r="G289" s="6">
        <v>0</v>
      </c>
      <c r="H289" s="6">
        <v>0</v>
      </c>
      <c r="I289" s="6">
        <v>0</v>
      </c>
      <c r="J289" s="6">
        <v>0</v>
      </c>
      <c r="K289" s="7" t="str">
        <f t="shared" si="10"/>
        <v>C</v>
      </c>
      <c r="L289" t="b">
        <f t="shared" si="9"/>
        <v>0</v>
      </c>
    </row>
    <row r="290" spans="1:12" x14ac:dyDescent="0.2">
      <c r="A290" t="s">
        <v>67</v>
      </c>
      <c r="B290" s="6">
        <v>0</v>
      </c>
      <c r="C290" s="6">
        <v>31</v>
      </c>
      <c r="D290" s="6">
        <v>2</v>
      </c>
      <c r="E290" s="6">
        <v>34</v>
      </c>
      <c r="F290" s="6">
        <v>0</v>
      </c>
      <c r="G290" s="6">
        <v>0</v>
      </c>
      <c r="H290" s="6">
        <v>0</v>
      </c>
      <c r="I290" s="6">
        <v>0</v>
      </c>
      <c r="J290" s="6">
        <v>0</v>
      </c>
      <c r="K290" s="7" t="str">
        <f t="shared" si="10"/>
        <v>3B</v>
      </c>
      <c r="L290" t="b">
        <f t="shared" si="9"/>
        <v>0</v>
      </c>
    </row>
    <row r="291" spans="1:12" x14ac:dyDescent="0.2">
      <c r="A291" t="s">
        <v>331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  <c r="G291" s="6">
        <v>79</v>
      </c>
      <c r="H291" s="6">
        <v>0</v>
      </c>
      <c r="I291" s="6">
        <v>3</v>
      </c>
      <c r="J291" s="6">
        <v>16</v>
      </c>
      <c r="K291" s="7" t="str">
        <f t="shared" si="10"/>
        <v>LF</v>
      </c>
      <c r="L291" t="b">
        <f t="shared" si="9"/>
        <v>0</v>
      </c>
    </row>
    <row r="292" spans="1:12" x14ac:dyDescent="0.2">
      <c r="A292" t="s">
        <v>482</v>
      </c>
      <c r="B292" s="6">
        <v>0</v>
      </c>
      <c r="C292" s="6">
        <v>0</v>
      </c>
      <c r="D292" s="6">
        <v>0</v>
      </c>
      <c r="E292" s="6">
        <v>0</v>
      </c>
      <c r="F292" s="6">
        <v>39</v>
      </c>
      <c r="G292" s="6">
        <v>0</v>
      </c>
      <c r="H292" s="6">
        <v>0</v>
      </c>
      <c r="I292" s="6">
        <v>0</v>
      </c>
      <c r="J292" s="6">
        <v>1</v>
      </c>
      <c r="K292" s="7" t="str">
        <f t="shared" si="10"/>
        <v>SS</v>
      </c>
      <c r="L292" t="b">
        <f t="shared" si="9"/>
        <v>0</v>
      </c>
    </row>
    <row r="293" spans="1:12" x14ac:dyDescent="0.2">
      <c r="A293" t="s">
        <v>265</v>
      </c>
      <c r="B293" s="6">
        <v>0</v>
      </c>
      <c r="C293" s="6">
        <v>1</v>
      </c>
      <c r="D293" s="6">
        <v>0</v>
      </c>
      <c r="E293" s="6">
        <v>0</v>
      </c>
      <c r="F293" s="6">
        <v>0</v>
      </c>
      <c r="G293" s="6">
        <v>26</v>
      </c>
      <c r="H293" s="6">
        <v>5</v>
      </c>
      <c r="I293" s="6">
        <v>0</v>
      </c>
      <c r="J293" s="6">
        <v>0</v>
      </c>
      <c r="K293" s="7" t="str">
        <f t="shared" si="10"/>
        <v>LF</v>
      </c>
      <c r="L293" t="b">
        <f t="shared" si="9"/>
        <v>0</v>
      </c>
    </row>
    <row r="294" spans="1:12" x14ac:dyDescent="0.2">
      <c r="A294" t="s">
        <v>146</v>
      </c>
      <c r="B294" s="6">
        <v>0</v>
      </c>
      <c r="C294" s="6">
        <v>2</v>
      </c>
      <c r="D294" s="6">
        <v>26</v>
      </c>
      <c r="E294" s="6">
        <v>34</v>
      </c>
      <c r="F294" s="6">
        <v>1</v>
      </c>
      <c r="G294" s="6">
        <v>1</v>
      </c>
      <c r="H294" s="6">
        <v>0</v>
      </c>
      <c r="I294" s="6">
        <v>0</v>
      </c>
      <c r="J294" s="6">
        <v>1</v>
      </c>
      <c r="K294" s="7" t="str">
        <f t="shared" si="10"/>
        <v>3B</v>
      </c>
      <c r="L294" t="b">
        <f t="shared" si="9"/>
        <v>0</v>
      </c>
    </row>
    <row r="295" spans="1:12" x14ac:dyDescent="0.2">
      <c r="A295" t="s">
        <v>441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  <c r="G295" s="6">
        <v>29</v>
      </c>
      <c r="H295" s="6">
        <v>6</v>
      </c>
      <c r="I295" s="6">
        <v>4</v>
      </c>
      <c r="J295" s="6">
        <v>0</v>
      </c>
      <c r="K295" s="7" t="str">
        <f t="shared" si="10"/>
        <v>LF</v>
      </c>
      <c r="L295" t="b">
        <f t="shared" si="9"/>
        <v>0</v>
      </c>
    </row>
    <row r="296" spans="1:12" x14ac:dyDescent="0.2">
      <c r="A296" t="s">
        <v>440</v>
      </c>
      <c r="B296" s="6">
        <v>0</v>
      </c>
      <c r="C296" s="6">
        <v>0</v>
      </c>
      <c r="D296" s="6">
        <v>27</v>
      </c>
      <c r="E296" s="6">
        <v>2</v>
      </c>
      <c r="F296" s="6">
        <v>15</v>
      </c>
      <c r="G296" s="6">
        <v>2</v>
      </c>
      <c r="H296" s="6">
        <v>0</v>
      </c>
      <c r="I296" s="6">
        <v>1</v>
      </c>
      <c r="J296" s="6">
        <v>0</v>
      </c>
      <c r="K296" s="7" t="str">
        <f t="shared" si="10"/>
        <v>2B</v>
      </c>
      <c r="L296" t="b">
        <f t="shared" si="9"/>
        <v>0</v>
      </c>
    </row>
    <row r="297" spans="1:12" x14ac:dyDescent="0.2">
      <c r="A297" t="s">
        <v>71</v>
      </c>
      <c r="B297" s="6">
        <v>0</v>
      </c>
      <c r="C297" s="6">
        <v>0</v>
      </c>
      <c r="D297" s="6">
        <v>0</v>
      </c>
      <c r="E297" s="6">
        <v>0</v>
      </c>
      <c r="F297" s="6">
        <v>94</v>
      </c>
      <c r="G297" s="6">
        <v>0</v>
      </c>
      <c r="H297" s="6">
        <v>0</v>
      </c>
      <c r="I297" s="6">
        <v>0</v>
      </c>
      <c r="J297" s="6">
        <v>1</v>
      </c>
      <c r="K297" s="7" t="str">
        <f t="shared" si="10"/>
        <v>SS</v>
      </c>
      <c r="L297" t="b">
        <f t="shared" si="9"/>
        <v>0</v>
      </c>
    </row>
    <row r="298" spans="1:12" x14ac:dyDescent="0.2">
      <c r="A298" t="s">
        <v>284</v>
      </c>
      <c r="B298" s="6">
        <v>0</v>
      </c>
      <c r="C298" s="6">
        <v>0</v>
      </c>
      <c r="D298" s="6">
        <v>84</v>
      </c>
      <c r="E298" s="6">
        <v>0</v>
      </c>
      <c r="F298" s="6">
        <v>0</v>
      </c>
      <c r="G298" s="6">
        <v>0</v>
      </c>
      <c r="H298" s="6">
        <v>0</v>
      </c>
      <c r="I298" s="6">
        <v>0</v>
      </c>
      <c r="J298" s="6">
        <v>5</v>
      </c>
      <c r="K298" s="7" t="str">
        <f t="shared" si="10"/>
        <v>2B</v>
      </c>
      <c r="L298" t="b">
        <f t="shared" si="9"/>
        <v>0</v>
      </c>
    </row>
    <row r="299" spans="1:12" x14ac:dyDescent="0.2">
      <c r="A299" t="s">
        <v>351</v>
      </c>
      <c r="B299" s="6">
        <v>0</v>
      </c>
      <c r="C299" s="6">
        <v>0</v>
      </c>
      <c r="D299" s="6">
        <v>0</v>
      </c>
      <c r="E299" s="6">
        <v>0</v>
      </c>
      <c r="F299" s="6">
        <v>0</v>
      </c>
      <c r="G299" s="6">
        <v>49</v>
      </c>
      <c r="H299" s="6">
        <v>14</v>
      </c>
      <c r="I299" s="6">
        <v>2</v>
      </c>
      <c r="J299" s="6">
        <v>0</v>
      </c>
      <c r="K299" s="7" t="str">
        <f t="shared" si="10"/>
        <v>LF</v>
      </c>
      <c r="L299" t="b">
        <f t="shared" si="9"/>
        <v>0</v>
      </c>
    </row>
    <row r="300" spans="1:12" x14ac:dyDescent="0.2">
      <c r="A300" t="s">
        <v>339</v>
      </c>
      <c r="B300" s="6">
        <v>0</v>
      </c>
      <c r="C300" s="6">
        <v>23</v>
      </c>
      <c r="D300" s="6">
        <v>0</v>
      </c>
      <c r="E300" s="6">
        <v>0</v>
      </c>
      <c r="F300" s="6">
        <v>0</v>
      </c>
      <c r="G300" s="6">
        <v>0</v>
      </c>
      <c r="H300" s="6">
        <v>0</v>
      </c>
      <c r="I300" s="6">
        <v>0</v>
      </c>
      <c r="J300" s="6">
        <v>39</v>
      </c>
      <c r="K300" s="7" t="str">
        <f t="shared" si="10"/>
        <v>DH</v>
      </c>
      <c r="L300" t="b">
        <f t="shared" si="9"/>
        <v>0</v>
      </c>
    </row>
    <row r="301" spans="1:12" x14ac:dyDescent="0.2">
      <c r="A301" t="s">
        <v>381</v>
      </c>
      <c r="B301" s="6">
        <v>0</v>
      </c>
      <c r="C301" s="6">
        <v>0</v>
      </c>
      <c r="D301" s="6">
        <v>0</v>
      </c>
      <c r="E301" s="6">
        <v>0</v>
      </c>
      <c r="F301" s="6">
        <v>0</v>
      </c>
      <c r="G301" s="6">
        <v>11</v>
      </c>
      <c r="H301" s="6">
        <v>11</v>
      </c>
      <c r="I301" s="6">
        <v>53</v>
      </c>
      <c r="J301" s="6">
        <v>0</v>
      </c>
      <c r="K301" s="7" t="str">
        <f t="shared" si="10"/>
        <v>RF</v>
      </c>
      <c r="L301" t="b">
        <f t="shared" si="9"/>
        <v>0</v>
      </c>
    </row>
    <row r="302" spans="1:12" x14ac:dyDescent="0.2">
      <c r="A302" t="s">
        <v>25</v>
      </c>
      <c r="B302" s="6">
        <v>0</v>
      </c>
      <c r="C302" s="6">
        <v>0</v>
      </c>
      <c r="D302" s="6">
        <v>0</v>
      </c>
      <c r="E302" s="6">
        <v>84</v>
      </c>
      <c r="F302" s="6">
        <v>0</v>
      </c>
      <c r="G302" s="6">
        <v>0</v>
      </c>
      <c r="H302" s="6">
        <v>0</v>
      </c>
      <c r="I302" s="6">
        <v>0</v>
      </c>
      <c r="J302" s="6">
        <v>9</v>
      </c>
      <c r="K302" s="7" t="str">
        <f t="shared" si="10"/>
        <v>3B</v>
      </c>
      <c r="L302" t="b">
        <f t="shared" si="9"/>
        <v>0</v>
      </c>
    </row>
    <row r="303" spans="1:12" x14ac:dyDescent="0.2">
      <c r="A303" t="s">
        <v>364</v>
      </c>
      <c r="B303" s="6">
        <v>53</v>
      </c>
      <c r="C303" s="6">
        <v>0</v>
      </c>
      <c r="D303" s="6">
        <v>0</v>
      </c>
      <c r="E303" s="6">
        <v>0</v>
      </c>
      <c r="F303" s="6">
        <v>0</v>
      </c>
      <c r="G303" s="6">
        <v>0</v>
      </c>
      <c r="H303" s="6">
        <v>0</v>
      </c>
      <c r="I303" s="6">
        <v>0</v>
      </c>
      <c r="J303" s="6">
        <v>0</v>
      </c>
      <c r="K303" s="7" t="str">
        <f t="shared" si="10"/>
        <v>C</v>
      </c>
      <c r="L303" t="b">
        <f t="shared" si="9"/>
        <v>0</v>
      </c>
    </row>
    <row r="304" spans="1:12" x14ac:dyDescent="0.2">
      <c r="A304" t="s">
        <v>274</v>
      </c>
      <c r="B304" s="6">
        <v>0</v>
      </c>
      <c r="C304" s="6">
        <v>0</v>
      </c>
      <c r="D304" s="6">
        <v>8</v>
      </c>
      <c r="E304" s="6">
        <v>4</v>
      </c>
      <c r="F304" s="6">
        <v>0</v>
      </c>
      <c r="G304" s="6">
        <v>0</v>
      </c>
      <c r="H304" s="6">
        <v>0</v>
      </c>
      <c r="I304" s="6">
        <v>0</v>
      </c>
      <c r="J304" s="6">
        <v>2</v>
      </c>
      <c r="K304" s="7" t="str">
        <f t="shared" si="10"/>
        <v>2B</v>
      </c>
      <c r="L304" t="b">
        <f t="shared" si="9"/>
        <v>0</v>
      </c>
    </row>
    <row r="305" spans="1:12" x14ac:dyDescent="0.2">
      <c r="A305" t="s">
        <v>259</v>
      </c>
      <c r="B305" s="6">
        <v>2</v>
      </c>
      <c r="C305" s="6">
        <v>0</v>
      </c>
      <c r="D305" s="6">
        <v>0</v>
      </c>
      <c r="E305" s="6">
        <v>0</v>
      </c>
      <c r="F305" s="6">
        <v>0</v>
      </c>
      <c r="G305" s="6">
        <v>0</v>
      </c>
      <c r="H305" s="6">
        <v>0</v>
      </c>
      <c r="I305" s="6">
        <v>0</v>
      </c>
      <c r="J305" s="6">
        <v>0</v>
      </c>
      <c r="K305" s="7" t="str">
        <f t="shared" si="10"/>
        <v>C</v>
      </c>
      <c r="L305" t="b">
        <f t="shared" si="9"/>
        <v>0</v>
      </c>
    </row>
    <row r="306" spans="1:12" x14ac:dyDescent="0.2">
      <c r="A306" t="s">
        <v>604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6">
        <v>1</v>
      </c>
      <c r="H306" s="6">
        <v>2</v>
      </c>
      <c r="I306" s="6">
        <v>9</v>
      </c>
      <c r="J306" s="6">
        <v>0</v>
      </c>
      <c r="K306" s="7" t="str">
        <f t="shared" si="10"/>
        <v>RF</v>
      </c>
      <c r="L306" t="b">
        <f t="shared" si="9"/>
        <v>0</v>
      </c>
    </row>
    <row r="307" spans="1:12" x14ac:dyDescent="0.2">
      <c r="A307" t="s">
        <v>605</v>
      </c>
      <c r="B307" s="6">
        <v>0</v>
      </c>
      <c r="C307" s="6">
        <v>4</v>
      </c>
      <c r="D307" s="6">
        <v>0</v>
      </c>
      <c r="E307" s="6">
        <v>0</v>
      </c>
      <c r="F307" s="6">
        <v>0</v>
      </c>
      <c r="G307" s="6">
        <v>0</v>
      </c>
      <c r="H307" s="6">
        <v>0</v>
      </c>
      <c r="I307" s="6">
        <v>0</v>
      </c>
      <c r="J307" s="6">
        <v>1</v>
      </c>
      <c r="K307" s="7" t="str">
        <f t="shared" si="10"/>
        <v>1B</v>
      </c>
      <c r="L307" t="b">
        <f t="shared" si="9"/>
        <v>0</v>
      </c>
    </row>
    <row r="308" spans="1:12" x14ac:dyDescent="0.2">
      <c r="A308" t="s">
        <v>492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  <c r="G308" s="6">
        <v>43</v>
      </c>
      <c r="H308" s="6">
        <v>35</v>
      </c>
      <c r="I308" s="6">
        <v>17</v>
      </c>
      <c r="J308" s="6">
        <v>0</v>
      </c>
      <c r="K308" s="7" t="str">
        <f t="shared" si="10"/>
        <v>LF</v>
      </c>
      <c r="L308" t="b">
        <f t="shared" si="9"/>
        <v>0</v>
      </c>
    </row>
    <row r="309" spans="1:12" x14ac:dyDescent="0.2">
      <c r="A309" t="s">
        <v>334</v>
      </c>
      <c r="B309" s="6">
        <v>0</v>
      </c>
      <c r="C309" s="6">
        <v>68</v>
      </c>
      <c r="D309" s="6">
        <v>0</v>
      </c>
      <c r="E309" s="6">
        <v>0</v>
      </c>
      <c r="F309" s="6">
        <v>0</v>
      </c>
      <c r="G309" s="6">
        <v>0</v>
      </c>
      <c r="H309" s="6">
        <v>0</v>
      </c>
      <c r="I309" s="6">
        <v>0</v>
      </c>
      <c r="J309" s="6">
        <v>17</v>
      </c>
      <c r="K309" s="7" t="str">
        <f t="shared" si="10"/>
        <v>1B</v>
      </c>
      <c r="L309" t="b">
        <f t="shared" si="9"/>
        <v>0</v>
      </c>
    </row>
    <row r="310" spans="1:12" x14ac:dyDescent="0.2">
      <c r="A310" t="s">
        <v>606</v>
      </c>
      <c r="B310" s="6">
        <v>31</v>
      </c>
      <c r="C310" s="6">
        <v>0</v>
      </c>
      <c r="D310" s="6">
        <v>0</v>
      </c>
      <c r="E310" s="6">
        <v>0</v>
      </c>
      <c r="F310" s="6">
        <v>0</v>
      </c>
      <c r="G310" s="6">
        <v>0</v>
      </c>
      <c r="H310" s="6">
        <v>0</v>
      </c>
      <c r="I310" s="6">
        <v>0</v>
      </c>
      <c r="J310" s="6">
        <v>0</v>
      </c>
      <c r="K310" s="7" t="str">
        <f t="shared" si="10"/>
        <v>C</v>
      </c>
      <c r="L310" t="b">
        <f t="shared" si="9"/>
        <v>0</v>
      </c>
    </row>
    <row r="311" spans="1:12" x14ac:dyDescent="0.2">
      <c r="A311" t="s">
        <v>378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0</v>
      </c>
      <c r="H311" s="6">
        <v>91</v>
      </c>
      <c r="I311" s="6">
        <v>0</v>
      </c>
      <c r="J311" s="6">
        <v>1</v>
      </c>
      <c r="K311" s="7" t="str">
        <f t="shared" si="10"/>
        <v>CF</v>
      </c>
      <c r="L311" t="b">
        <f t="shared" si="9"/>
        <v>0</v>
      </c>
    </row>
    <row r="312" spans="1:12" x14ac:dyDescent="0.2">
      <c r="A312" t="s">
        <v>301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84</v>
      </c>
      <c r="H312" s="6">
        <v>13</v>
      </c>
      <c r="I312" s="6">
        <v>14</v>
      </c>
      <c r="J312" s="6">
        <v>0</v>
      </c>
      <c r="K312" s="7" t="str">
        <f t="shared" si="10"/>
        <v>LF</v>
      </c>
      <c r="L312" t="b">
        <f t="shared" si="9"/>
        <v>0</v>
      </c>
    </row>
    <row r="313" spans="1:12" x14ac:dyDescent="0.2">
      <c r="A313" t="s">
        <v>460</v>
      </c>
      <c r="B313" s="6">
        <v>0</v>
      </c>
      <c r="C313" s="6">
        <v>0</v>
      </c>
      <c r="D313" s="6">
        <v>75</v>
      </c>
      <c r="E313" s="6">
        <v>0</v>
      </c>
      <c r="F313" s="6">
        <v>0</v>
      </c>
      <c r="G313" s="6">
        <v>0</v>
      </c>
      <c r="H313" s="6">
        <v>0</v>
      </c>
      <c r="I313" s="6">
        <v>0</v>
      </c>
      <c r="J313" s="6">
        <v>16</v>
      </c>
      <c r="K313" s="7" t="str">
        <f t="shared" si="10"/>
        <v>2B</v>
      </c>
      <c r="L313" t="b">
        <f t="shared" si="9"/>
        <v>0</v>
      </c>
    </row>
    <row r="314" spans="1:12" x14ac:dyDescent="0.2">
      <c r="A314" t="s">
        <v>607</v>
      </c>
      <c r="B314" s="6">
        <v>0</v>
      </c>
      <c r="C314" s="6">
        <v>0</v>
      </c>
      <c r="D314" s="6">
        <v>0</v>
      </c>
      <c r="E314" s="6">
        <v>0</v>
      </c>
      <c r="F314" s="6">
        <v>0</v>
      </c>
      <c r="G314" s="6">
        <v>0</v>
      </c>
      <c r="H314" s="6">
        <v>2</v>
      </c>
      <c r="I314" s="6">
        <v>36</v>
      </c>
      <c r="J314" s="6">
        <v>1</v>
      </c>
      <c r="K314" s="7" t="str">
        <f t="shared" si="10"/>
        <v>RF</v>
      </c>
      <c r="L314" t="b">
        <f t="shared" si="9"/>
        <v>0</v>
      </c>
    </row>
    <row r="315" spans="1:12" x14ac:dyDescent="0.2">
      <c r="A315" t="s">
        <v>225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  <c r="G315" s="6">
        <v>5</v>
      </c>
      <c r="H315" s="6">
        <v>0</v>
      </c>
      <c r="I315" s="6">
        <v>18</v>
      </c>
      <c r="J315" s="6">
        <v>16</v>
      </c>
      <c r="K315" s="7" t="str">
        <f t="shared" si="10"/>
        <v>RF</v>
      </c>
      <c r="L315" t="b">
        <f t="shared" si="9"/>
        <v>0</v>
      </c>
    </row>
    <row r="316" spans="1:12" x14ac:dyDescent="0.2">
      <c r="A316" t="s">
        <v>190</v>
      </c>
      <c r="B316" s="6">
        <v>0</v>
      </c>
      <c r="C316" s="6">
        <v>0</v>
      </c>
      <c r="D316" s="6">
        <v>0</v>
      </c>
      <c r="E316" s="6">
        <v>0</v>
      </c>
      <c r="F316" s="6">
        <v>0</v>
      </c>
      <c r="G316" s="6">
        <v>36</v>
      </c>
      <c r="H316" s="6">
        <v>7</v>
      </c>
      <c r="I316" s="6">
        <v>45</v>
      </c>
      <c r="J316" s="6">
        <v>0</v>
      </c>
      <c r="K316" s="7" t="str">
        <f t="shared" si="10"/>
        <v>RF</v>
      </c>
      <c r="L316" t="b">
        <f t="shared" si="9"/>
        <v>0</v>
      </c>
    </row>
    <row r="317" spans="1:12" x14ac:dyDescent="0.2">
      <c r="A317" t="s">
        <v>608</v>
      </c>
      <c r="B317" s="6">
        <v>0</v>
      </c>
      <c r="C317" s="6">
        <v>0</v>
      </c>
      <c r="D317" s="6">
        <v>0</v>
      </c>
      <c r="E317" s="6">
        <v>0</v>
      </c>
      <c r="F317" s="6">
        <v>0</v>
      </c>
      <c r="G317" s="6">
        <v>43</v>
      </c>
      <c r="H317" s="6">
        <v>5</v>
      </c>
      <c r="I317" s="6">
        <v>25</v>
      </c>
      <c r="J317" s="6">
        <v>0</v>
      </c>
      <c r="K317" s="7" t="str">
        <f t="shared" si="10"/>
        <v>LF</v>
      </c>
      <c r="L317" t="b">
        <f t="shared" si="9"/>
        <v>0</v>
      </c>
    </row>
    <row r="318" spans="1:12" x14ac:dyDescent="0.2">
      <c r="A318" t="s">
        <v>609</v>
      </c>
      <c r="B318" s="6">
        <v>4</v>
      </c>
      <c r="C318" s="6">
        <v>0</v>
      </c>
      <c r="D318" s="6">
        <v>0</v>
      </c>
      <c r="E318" s="6">
        <v>0</v>
      </c>
      <c r="F318" s="6">
        <v>0</v>
      </c>
      <c r="G318" s="6">
        <v>0</v>
      </c>
      <c r="H318" s="6">
        <v>0</v>
      </c>
      <c r="I318" s="6">
        <v>0</v>
      </c>
      <c r="J318" s="6">
        <v>0</v>
      </c>
      <c r="K318" s="7" t="str">
        <f t="shared" si="10"/>
        <v>C</v>
      </c>
      <c r="L318" t="b">
        <f t="shared" si="9"/>
        <v>0</v>
      </c>
    </row>
    <row r="319" spans="1:12" x14ac:dyDescent="0.2">
      <c r="A319" t="s">
        <v>360</v>
      </c>
      <c r="B319" s="6">
        <v>0</v>
      </c>
      <c r="C319" s="6">
        <v>0</v>
      </c>
      <c r="D319" s="6">
        <v>72</v>
      </c>
      <c r="E319" s="6">
        <v>2</v>
      </c>
      <c r="F319" s="6">
        <v>0</v>
      </c>
      <c r="G319" s="6">
        <v>3</v>
      </c>
      <c r="H319" s="6">
        <v>0</v>
      </c>
      <c r="I319" s="6">
        <v>1</v>
      </c>
      <c r="J319" s="6">
        <v>1</v>
      </c>
      <c r="K319" s="7" t="str">
        <f t="shared" si="10"/>
        <v>2B</v>
      </c>
      <c r="L319" t="b">
        <f t="shared" si="9"/>
        <v>0</v>
      </c>
    </row>
    <row r="320" spans="1:12" x14ac:dyDescent="0.2">
      <c r="A320" t="s">
        <v>610</v>
      </c>
      <c r="B320" s="6">
        <v>0</v>
      </c>
      <c r="C320" s="6">
        <v>2</v>
      </c>
      <c r="D320" s="6">
        <v>1</v>
      </c>
      <c r="E320" s="6">
        <v>4</v>
      </c>
      <c r="F320" s="6">
        <v>0</v>
      </c>
      <c r="G320" s="6">
        <v>2</v>
      </c>
      <c r="H320" s="6">
        <v>0</v>
      </c>
      <c r="I320" s="6">
        <v>4</v>
      </c>
      <c r="J320" s="6">
        <v>0</v>
      </c>
      <c r="K320" s="7" t="str">
        <f t="shared" si="10"/>
        <v>3B</v>
      </c>
      <c r="L320" t="b">
        <f t="shared" si="9"/>
        <v>1</v>
      </c>
    </row>
    <row r="321" spans="1:12" x14ac:dyDescent="0.2">
      <c r="A321" t="s">
        <v>152</v>
      </c>
      <c r="B321" s="6">
        <v>0</v>
      </c>
      <c r="C321" s="6">
        <v>0</v>
      </c>
      <c r="D321" s="6">
        <v>1</v>
      </c>
      <c r="E321" s="6">
        <v>0</v>
      </c>
      <c r="F321" s="6">
        <v>42</v>
      </c>
      <c r="G321" s="6">
        <v>1</v>
      </c>
      <c r="H321" s="6">
        <v>0</v>
      </c>
      <c r="I321" s="6">
        <v>0</v>
      </c>
      <c r="J321" s="6">
        <v>7</v>
      </c>
      <c r="K321" s="7" t="str">
        <f t="shared" si="10"/>
        <v>SS</v>
      </c>
      <c r="L321" t="b">
        <f t="shared" si="9"/>
        <v>0</v>
      </c>
    </row>
    <row r="322" spans="1:12" x14ac:dyDescent="0.2">
      <c r="A322" t="s">
        <v>611</v>
      </c>
      <c r="B322" s="6">
        <v>0</v>
      </c>
      <c r="C322" s="6">
        <v>0</v>
      </c>
      <c r="D322" s="6">
        <v>0</v>
      </c>
      <c r="E322" s="6">
        <v>0</v>
      </c>
      <c r="F322" s="6">
        <v>0</v>
      </c>
      <c r="G322" s="6">
        <v>2</v>
      </c>
      <c r="H322" s="6">
        <v>0</v>
      </c>
      <c r="I322" s="6">
        <v>5</v>
      </c>
      <c r="J322" s="6">
        <v>2</v>
      </c>
      <c r="K322" s="7" t="str">
        <f t="shared" si="10"/>
        <v>RF</v>
      </c>
      <c r="L322" t="b">
        <f t="shared" si="9"/>
        <v>0</v>
      </c>
    </row>
    <row r="323" spans="1:12" x14ac:dyDescent="0.2">
      <c r="A323" t="s">
        <v>102</v>
      </c>
      <c r="B323" s="6">
        <v>0</v>
      </c>
      <c r="C323" s="6">
        <v>0</v>
      </c>
      <c r="D323" s="6">
        <v>22</v>
      </c>
      <c r="E323" s="6">
        <v>4</v>
      </c>
      <c r="F323" s="6">
        <v>0</v>
      </c>
      <c r="G323" s="6">
        <v>37</v>
      </c>
      <c r="H323" s="6">
        <v>37</v>
      </c>
      <c r="I323" s="6">
        <v>0</v>
      </c>
      <c r="J323" s="6">
        <v>0</v>
      </c>
      <c r="K323" s="7" t="str">
        <f t="shared" si="10"/>
        <v>LF</v>
      </c>
      <c r="L323" t="b">
        <f t="shared" ref="L323:L386" si="11">COUNTIF(B323:J323, MAX(B323:J323)) &gt; 1</f>
        <v>1</v>
      </c>
    </row>
    <row r="324" spans="1:12" x14ac:dyDescent="0.2">
      <c r="A324" t="s">
        <v>505</v>
      </c>
      <c r="B324" s="6">
        <v>0</v>
      </c>
      <c r="C324" s="6">
        <v>0</v>
      </c>
      <c r="D324" s="6">
        <v>2</v>
      </c>
      <c r="E324" s="6">
        <v>3</v>
      </c>
      <c r="F324" s="6">
        <v>10</v>
      </c>
      <c r="G324" s="6">
        <v>0</v>
      </c>
      <c r="H324" s="6">
        <v>0</v>
      </c>
      <c r="I324" s="6">
        <v>0</v>
      </c>
      <c r="J324" s="6">
        <v>0</v>
      </c>
      <c r="K324" s="7" t="str">
        <f t="shared" si="10"/>
        <v>SS</v>
      </c>
      <c r="L324" t="b">
        <f t="shared" si="11"/>
        <v>0</v>
      </c>
    </row>
    <row r="325" spans="1:12" x14ac:dyDescent="0.2">
      <c r="A325" t="s">
        <v>402</v>
      </c>
      <c r="B325" s="6">
        <v>0</v>
      </c>
      <c r="C325" s="6">
        <v>0</v>
      </c>
      <c r="D325" s="6">
        <v>45</v>
      </c>
      <c r="E325" s="6">
        <v>0</v>
      </c>
      <c r="F325" s="6">
        <v>24</v>
      </c>
      <c r="G325" s="6">
        <v>0</v>
      </c>
      <c r="H325" s="6">
        <v>0</v>
      </c>
      <c r="I325" s="6">
        <v>0</v>
      </c>
      <c r="J325" s="6">
        <v>0</v>
      </c>
      <c r="K325" s="7" t="str">
        <f t="shared" si="10"/>
        <v>2B</v>
      </c>
      <c r="L325" t="b">
        <f t="shared" si="11"/>
        <v>0</v>
      </c>
    </row>
    <row r="326" spans="1:12" x14ac:dyDescent="0.2">
      <c r="A326" t="s">
        <v>50</v>
      </c>
      <c r="B326" s="6">
        <v>0</v>
      </c>
      <c r="C326" s="6">
        <v>8</v>
      </c>
      <c r="D326" s="6">
        <v>0</v>
      </c>
      <c r="E326" s="6">
        <v>58</v>
      </c>
      <c r="F326" s="6">
        <v>0</v>
      </c>
      <c r="G326" s="6">
        <v>0</v>
      </c>
      <c r="H326" s="6">
        <v>0</v>
      </c>
      <c r="I326" s="6">
        <v>0</v>
      </c>
      <c r="J326" s="6">
        <v>11</v>
      </c>
      <c r="K326" s="7" t="str">
        <f t="shared" si="10"/>
        <v>3B</v>
      </c>
      <c r="L326" t="b">
        <f t="shared" si="11"/>
        <v>0</v>
      </c>
    </row>
    <row r="327" spans="1:12" x14ac:dyDescent="0.2">
      <c r="A327" t="s">
        <v>255</v>
      </c>
      <c r="B327" s="6">
        <v>0</v>
      </c>
      <c r="C327" s="6">
        <v>5</v>
      </c>
      <c r="D327" s="6">
        <v>3</v>
      </c>
      <c r="E327" s="6">
        <v>0</v>
      </c>
      <c r="F327" s="6">
        <v>0</v>
      </c>
      <c r="G327" s="6">
        <v>0</v>
      </c>
      <c r="H327" s="6">
        <v>0</v>
      </c>
      <c r="I327" s="6">
        <v>0</v>
      </c>
      <c r="J327" s="6">
        <v>0</v>
      </c>
      <c r="K327" s="7" t="str">
        <f t="shared" si="10"/>
        <v>1B</v>
      </c>
      <c r="L327" t="b">
        <f t="shared" si="11"/>
        <v>0</v>
      </c>
    </row>
    <row r="328" spans="1:12" x14ac:dyDescent="0.2">
      <c r="A328" t="s">
        <v>207</v>
      </c>
      <c r="B328" s="6">
        <v>21</v>
      </c>
      <c r="C328" s="6">
        <v>3</v>
      </c>
      <c r="D328" s="6">
        <v>0</v>
      </c>
      <c r="E328" s="6">
        <v>0</v>
      </c>
      <c r="F328" s="6">
        <v>0</v>
      </c>
      <c r="G328" s="6">
        <v>0</v>
      </c>
      <c r="H328" s="6">
        <v>0</v>
      </c>
      <c r="I328" s="6">
        <v>0</v>
      </c>
      <c r="J328" s="6">
        <v>0</v>
      </c>
      <c r="K328" s="7" t="str">
        <f t="shared" si="10"/>
        <v>C</v>
      </c>
      <c r="L328" t="b">
        <f t="shared" si="11"/>
        <v>0</v>
      </c>
    </row>
    <row r="329" spans="1:12" x14ac:dyDescent="0.2">
      <c r="A329" t="s">
        <v>335</v>
      </c>
      <c r="B329" s="6">
        <v>0</v>
      </c>
      <c r="C329" s="6">
        <v>0</v>
      </c>
      <c r="D329" s="6">
        <v>0</v>
      </c>
      <c r="E329" s="6">
        <v>0</v>
      </c>
      <c r="F329" s="6">
        <v>0</v>
      </c>
      <c r="G329" s="6">
        <v>40</v>
      </c>
      <c r="H329" s="6">
        <v>41</v>
      </c>
      <c r="I329" s="6">
        <v>16</v>
      </c>
      <c r="J329" s="6">
        <v>2</v>
      </c>
      <c r="K329" s="7" t="str">
        <f t="shared" si="10"/>
        <v>CF</v>
      </c>
      <c r="L329" t="b">
        <f t="shared" si="11"/>
        <v>0</v>
      </c>
    </row>
    <row r="330" spans="1:12" x14ac:dyDescent="0.2">
      <c r="A330" t="s">
        <v>612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  <c r="G330" s="6">
        <v>1</v>
      </c>
      <c r="H330" s="6">
        <v>0</v>
      </c>
      <c r="I330" s="6">
        <v>0</v>
      </c>
      <c r="J330" s="6">
        <v>1</v>
      </c>
      <c r="K330" s="7" t="str">
        <f t="shared" ref="K330:K393" si="12">INDEX($B$1:$J$1, MATCH(MAX(B330:J330), B330:J330, 0))</f>
        <v>LF</v>
      </c>
      <c r="L330" t="b">
        <f t="shared" si="11"/>
        <v>1</v>
      </c>
    </row>
    <row r="331" spans="1:12" x14ac:dyDescent="0.2">
      <c r="A331" t="s">
        <v>233</v>
      </c>
      <c r="B331" s="6">
        <v>0</v>
      </c>
      <c r="C331" s="6">
        <v>0</v>
      </c>
      <c r="D331" s="6">
        <v>0</v>
      </c>
      <c r="E331" s="6">
        <v>0</v>
      </c>
      <c r="F331" s="6">
        <v>0</v>
      </c>
      <c r="G331" s="6">
        <v>7</v>
      </c>
      <c r="H331" s="6">
        <v>0</v>
      </c>
      <c r="I331" s="6">
        <v>6</v>
      </c>
      <c r="J331" s="6">
        <v>23</v>
      </c>
      <c r="K331" s="7" t="str">
        <f t="shared" si="12"/>
        <v>DH</v>
      </c>
      <c r="L331" t="b">
        <f t="shared" si="11"/>
        <v>0</v>
      </c>
    </row>
    <row r="332" spans="1:12" x14ac:dyDescent="0.2">
      <c r="A332" t="s">
        <v>344</v>
      </c>
      <c r="B332" s="6">
        <v>0</v>
      </c>
      <c r="C332" s="6">
        <v>0</v>
      </c>
      <c r="D332" s="6">
        <v>0</v>
      </c>
      <c r="E332" s="6">
        <v>55</v>
      </c>
      <c r="F332" s="6">
        <v>61</v>
      </c>
      <c r="G332" s="6">
        <v>0</v>
      </c>
      <c r="H332" s="6">
        <v>0</v>
      </c>
      <c r="I332" s="6">
        <v>0</v>
      </c>
      <c r="J332" s="6">
        <v>1</v>
      </c>
      <c r="K332" s="7" t="str">
        <f t="shared" si="12"/>
        <v>SS</v>
      </c>
      <c r="L332" t="b">
        <f t="shared" si="11"/>
        <v>0</v>
      </c>
    </row>
    <row r="333" spans="1:12" x14ac:dyDescent="0.2">
      <c r="A333" t="s">
        <v>613</v>
      </c>
      <c r="B333" s="6">
        <v>10</v>
      </c>
      <c r="C333" s="6">
        <v>0</v>
      </c>
      <c r="D333" s="6">
        <v>0</v>
      </c>
      <c r="E333" s="6">
        <v>0</v>
      </c>
      <c r="F333" s="6">
        <v>0</v>
      </c>
      <c r="G333" s="6">
        <v>0</v>
      </c>
      <c r="H333" s="6">
        <v>0</v>
      </c>
      <c r="I333" s="6">
        <v>0</v>
      </c>
      <c r="J333" s="6">
        <v>0</v>
      </c>
      <c r="K333" s="7" t="str">
        <f t="shared" si="12"/>
        <v>C</v>
      </c>
      <c r="L333" t="b">
        <f t="shared" si="11"/>
        <v>0</v>
      </c>
    </row>
    <row r="334" spans="1:12" x14ac:dyDescent="0.2">
      <c r="A334" t="s">
        <v>391</v>
      </c>
      <c r="B334" s="6">
        <v>0</v>
      </c>
      <c r="C334" s="6">
        <v>0</v>
      </c>
      <c r="D334" s="6">
        <v>35</v>
      </c>
      <c r="E334" s="6">
        <v>7</v>
      </c>
      <c r="F334" s="6">
        <v>27</v>
      </c>
      <c r="G334" s="6">
        <v>0</v>
      </c>
      <c r="H334" s="6">
        <v>4</v>
      </c>
      <c r="I334" s="6">
        <v>15</v>
      </c>
      <c r="J334" s="6">
        <v>0</v>
      </c>
      <c r="K334" s="7" t="str">
        <f t="shared" si="12"/>
        <v>2B</v>
      </c>
      <c r="L334" t="b">
        <f t="shared" si="11"/>
        <v>0</v>
      </c>
    </row>
    <row r="335" spans="1:12" x14ac:dyDescent="0.2">
      <c r="A335" t="s">
        <v>88</v>
      </c>
      <c r="B335" s="6">
        <v>0</v>
      </c>
      <c r="C335" s="6">
        <v>0</v>
      </c>
      <c r="D335" s="6">
        <v>57</v>
      </c>
      <c r="E335" s="6">
        <v>0</v>
      </c>
      <c r="F335" s="6">
        <v>23</v>
      </c>
      <c r="G335" s="6">
        <v>0</v>
      </c>
      <c r="H335" s="6">
        <v>3</v>
      </c>
      <c r="I335" s="6">
        <v>0</v>
      </c>
      <c r="J335" s="6">
        <v>0</v>
      </c>
      <c r="K335" s="7" t="str">
        <f t="shared" si="12"/>
        <v>2B</v>
      </c>
      <c r="L335" t="b">
        <f t="shared" si="11"/>
        <v>0</v>
      </c>
    </row>
    <row r="336" spans="1:12" x14ac:dyDescent="0.2">
      <c r="A336" t="s">
        <v>343</v>
      </c>
      <c r="B336" s="6">
        <v>0</v>
      </c>
      <c r="C336" s="6">
        <v>0</v>
      </c>
      <c r="D336" s="6">
        <v>0</v>
      </c>
      <c r="E336" s="6">
        <v>76</v>
      </c>
      <c r="F336" s="6">
        <v>2</v>
      </c>
      <c r="G336" s="6">
        <v>0</v>
      </c>
      <c r="H336" s="6">
        <v>0</v>
      </c>
      <c r="I336" s="6">
        <v>0</v>
      </c>
      <c r="J336" s="6">
        <v>0</v>
      </c>
      <c r="K336" s="7" t="str">
        <f t="shared" si="12"/>
        <v>3B</v>
      </c>
      <c r="L336" t="b">
        <f t="shared" si="11"/>
        <v>0</v>
      </c>
    </row>
    <row r="337" spans="1:12" x14ac:dyDescent="0.2">
      <c r="A337" t="s">
        <v>399</v>
      </c>
      <c r="B337" s="6">
        <v>0</v>
      </c>
      <c r="C337" s="6">
        <v>3</v>
      </c>
      <c r="D337" s="6">
        <v>79</v>
      </c>
      <c r="E337" s="6">
        <v>1</v>
      </c>
      <c r="F337" s="6">
        <v>0</v>
      </c>
      <c r="G337" s="6">
        <v>0</v>
      </c>
      <c r="H337" s="6">
        <v>0</v>
      </c>
      <c r="I337" s="6">
        <v>2</v>
      </c>
      <c r="J337" s="6">
        <v>0</v>
      </c>
      <c r="K337" s="7" t="str">
        <f t="shared" si="12"/>
        <v>2B</v>
      </c>
      <c r="L337" t="b">
        <f t="shared" si="11"/>
        <v>0</v>
      </c>
    </row>
    <row r="338" spans="1:12" x14ac:dyDescent="0.2">
      <c r="A338" t="s">
        <v>32</v>
      </c>
      <c r="B338" s="6">
        <v>0</v>
      </c>
      <c r="C338" s="6">
        <v>34</v>
      </c>
      <c r="D338" s="6">
        <v>6</v>
      </c>
      <c r="E338" s="6">
        <v>41</v>
      </c>
      <c r="F338" s="6">
        <v>0</v>
      </c>
      <c r="G338" s="6">
        <v>0</v>
      </c>
      <c r="H338" s="6">
        <v>0</v>
      </c>
      <c r="I338" s="6">
        <v>0</v>
      </c>
      <c r="J338" s="6">
        <v>5</v>
      </c>
      <c r="K338" s="7" t="str">
        <f t="shared" si="12"/>
        <v>3B</v>
      </c>
      <c r="L338" t="b">
        <f t="shared" si="11"/>
        <v>0</v>
      </c>
    </row>
    <row r="339" spans="1:12" x14ac:dyDescent="0.2">
      <c r="A339" t="s">
        <v>614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6">
        <v>0</v>
      </c>
      <c r="H339" s="6">
        <v>12</v>
      </c>
      <c r="I339" s="6">
        <v>0</v>
      </c>
      <c r="J339" s="6">
        <v>0</v>
      </c>
      <c r="K339" s="7" t="str">
        <f t="shared" si="12"/>
        <v>CF</v>
      </c>
      <c r="L339" t="b">
        <f t="shared" si="11"/>
        <v>0</v>
      </c>
    </row>
    <row r="340" spans="1:12" x14ac:dyDescent="0.2">
      <c r="A340" t="s">
        <v>422</v>
      </c>
      <c r="B340" s="6">
        <v>0</v>
      </c>
      <c r="C340" s="6">
        <v>0</v>
      </c>
      <c r="D340" s="6">
        <v>0</v>
      </c>
      <c r="E340" s="6">
        <v>0</v>
      </c>
      <c r="F340" s="6">
        <v>0</v>
      </c>
      <c r="G340" s="6">
        <v>39</v>
      </c>
      <c r="H340" s="6">
        <v>0</v>
      </c>
      <c r="I340" s="6">
        <v>3</v>
      </c>
      <c r="J340" s="6">
        <v>1</v>
      </c>
      <c r="K340" s="7" t="str">
        <f t="shared" si="12"/>
        <v>LF</v>
      </c>
      <c r="L340" t="b">
        <f t="shared" si="11"/>
        <v>0</v>
      </c>
    </row>
    <row r="341" spans="1:12" x14ac:dyDescent="0.2">
      <c r="A341" t="s">
        <v>95</v>
      </c>
      <c r="B341" s="6">
        <v>0</v>
      </c>
      <c r="C341" s="6">
        <v>0</v>
      </c>
      <c r="D341" s="6">
        <v>91</v>
      </c>
      <c r="E341" s="6">
        <v>3</v>
      </c>
      <c r="F341" s="6">
        <v>11</v>
      </c>
      <c r="G341" s="6">
        <v>0</v>
      </c>
      <c r="H341" s="6">
        <v>0</v>
      </c>
      <c r="I341" s="6">
        <v>0</v>
      </c>
      <c r="J341" s="6">
        <v>0</v>
      </c>
      <c r="K341" s="7" t="str">
        <f t="shared" si="12"/>
        <v>2B</v>
      </c>
      <c r="L341" t="b">
        <f t="shared" si="11"/>
        <v>0</v>
      </c>
    </row>
    <row r="342" spans="1:12" x14ac:dyDescent="0.2">
      <c r="A342" t="s">
        <v>394</v>
      </c>
      <c r="B342" s="6">
        <v>0</v>
      </c>
      <c r="C342" s="6">
        <v>0</v>
      </c>
      <c r="D342" s="6">
        <v>0</v>
      </c>
      <c r="E342" s="6">
        <v>0</v>
      </c>
      <c r="F342" s="6">
        <v>0</v>
      </c>
      <c r="G342" s="6">
        <v>21</v>
      </c>
      <c r="H342" s="6">
        <v>0</v>
      </c>
      <c r="I342" s="6">
        <v>4</v>
      </c>
      <c r="J342" s="6">
        <v>23</v>
      </c>
      <c r="K342" s="7" t="str">
        <f t="shared" si="12"/>
        <v>DH</v>
      </c>
      <c r="L342" t="b">
        <f t="shared" si="11"/>
        <v>0</v>
      </c>
    </row>
    <row r="343" spans="1:12" x14ac:dyDescent="0.2">
      <c r="A343" t="s">
        <v>615</v>
      </c>
      <c r="B343" s="6">
        <v>0</v>
      </c>
      <c r="C343" s="6">
        <v>3</v>
      </c>
      <c r="D343" s="6">
        <v>0</v>
      </c>
      <c r="E343" s="6">
        <v>0</v>
      </c>
      <c r="F343" s="6">
        <v>0</v>
      </c>
      <c r="G343" s="6">
        <v>1</v>
      </c>
      <c r="H343" s="6">
        <v>0</v>
      </c>
      <c r="I343" s="6">
        <v>0</v>
      </c>
      <c r="J343" s="6">
        <v>3</v>
      </c>
      <c r="K343" s="7" t="str">
        <f t="shared" si="12"/>
        <v>1B</v>
      </c>
      <c r="L343" t="b">
        <f t="shared" si="11"/>
        <v>1</v>
      </c>
    </row>
    <row r="344" spans="1:12" x14ac:dyDescent="0.2">
      <c r="A344" t="s">
        <v>332</v>
      </c>
      <c r="B344" s="6">
        <v>0</v>
      </c>
      <c r="C344" s="6">
        <v>0</v>
      </c>
      <c r="D344" s="6">
        <v>0</v>
      </c>
      <c r="E344" s="6">
        <v>0</v>
      </c>
      <c r="F344" s="6">
        <v>0</v>
      </c>
      <c r="G344" s="6">
        <v>0</v>
      </c>
      <c r="H344" s="6">
        <v>93</v>
      </c>
      <c r="I344" s="6">
        <v>0</v>
      </c>
      <c r="J344" s="6">
        <v>0</v>
      </c>
      <c r="K344" s="7" t="str">
        <f t="shared" si="12"/>
        <v>CF</v>
      </c>
      <c r="L344" t="b">
        <f t="shared" si="11"/>
        <v>0</v>
      </c>
    </row>
    <row r="345" spans="1:12" x14ac:dyDescent="0.2">
      <c r="A345" t="s">
        <v>616</v>
      </c>
      <c r="B345" s="6">
        <v>0</v>
      </c>
      <c r="C345" s="6">
        <v>0</v>
      </c>
      <c r="D345" s="6">
        <v>0</v>
      </c>
      <c r="E345" s="6">
        <v>0</v>
      </c>
      <c r="F345" s="6">
        <v>0</v>
      </c>
      <c r="G345" s="6">
        <v>3</v>
      </c>
      <c r="H345" s="6">
        <v>3</v>
      </c>
      <c r="I345" s="6">
        <v>26</v>
      </c>
      <c r="J345" s="6">
        <v>0</v>
      </c>
      <c r="K345" s="7" t="str">
        <f t="shared" si="12"/>
        <v>RF</v>
      </c>
      <c r="L345" t="b">
        <f t="shared" si="11"/>
        <v>0</v>
      </c>
    </row>
    <row r="346" spans="1:12" x14ac:dyDescent="0.2">
      <c r="A346" t="s">
        <v>177</v>
      </c>
      <c r="B346" s="6">
        <v>0</v>
      </c>
      <c r="C346" s="6">
        <v>0</v>
      </c>
      <c r="D346" s="6">
        <v>0</v>
      </c>
      <c r="E346" s="6">
        <v>0</v>
      </c>
      <c r="F346" s="6">
        <v>0</v>
      </c>
      <c r="G346" s="6">
        <v>0</v>
      </c>
      <c r="H346" s="6">
        <v>50</v>
      </c>
      <c r="I346" s="6">
        <v>0</v>
      </c>
      <c r="J346" s="6">
        <v>0</v>
      </c>
      <c r="K346" s="7" t="str">
        <f t="shared" si="12"/>
        <v>CF</v>
      </c>
      <c r="L346" t="b">
        <f t="shared" si="11"/>
        <v>0</v>
      </c>
    </row>
    <row r="347" spans="1:12" x14ac:dyDescent="0.2">
      <c r="A347" t="s">
        <v>494</v>
      </c>
      <c r="B347" s="6">
        <v>50</v>
      </c>
      <c r="C347" s="6">
        <v>0</v>
      </c>
      <c r="D347" s="6">
        <v>0</v>
      </c>
      <c r="E347" s="6">
        <v>0</v>
      </c>
      <c r="F347" s="6">
        <v>0</v>
      </c>
      <c r="G347" s="6">
        <v>0</v>
      </c>
      <c r="H347" s="6">
        <v>0</v>
      </c>
      <c r="I347" s="6">
        <v>0</v>
      </c>
      <c r="J347" s="6">
        <v>0</v>
      </c>
      <c r="K347" s="7" t="str">
        <f t="shared" si="12"/>
        <v>C</v>
      </c>
      <c r="L347" t="b">
        <f t="shared" si="11"/>
        <v>0</v>
      </c>
    </row>
    <row r="348" spans="1:12" x14ac:dyDescent="0.2">
      <c r="A348" t="s">
        <v>617</v>
      </c>
      <c r="B348" s="6">
        <v>0</v>
      </c>
      <c r="C348" s="6">
        <v>0</v>
      </c>
      <c r="D348" s="6">
        <v>0</v>
      </c>
      <c r="E348" s="6">
        <v>0</v>
      </c>
      <c r="F348" s="6">
        <v>0</v>
      </c>
      <c r="G348" s="6">
        <v>3</v>
      </c>
      <c r="H348" s="6">
        <v>9</v>
      </c>
      <c r="I348" s="6">
        <v>4</v>
      </c>
      <c r="J348" s="6">
        <v>1</v>
      </c>
      <c r="K348" s="7" t="str">
        <f t="shared" si="12"/>
        <v>CF</v>
      </c>
      <c r="L348" t="b">
        <f t="shared" si="11"/>
        <v>0</v>
      </c>
    </row>
    <row r="349" spans="1:12" x14ac:dyDescent="0.2">
      <c r="A349" t="s">
        <v>346</v>
      </c>
      <c r="B349" s="6">
        <v>0</v>
      </c>
      <c r="C349" s="6">
        <v>0</v>
      </c>
      <c r="D349" s="6">
        <v>0</v>
      </c>
      <c r="E349" s="6">
        <v>0</v>
      </c>
      <c r="F349" s="6">
        <v>0</v>
      </c>
      <c r="G349" s="6">
        <v>0</v>
      </c>
      <c r="H349" s="6">
        <v>82</v>
      </c>
      <c r="I349" s="6">
        <v>0</v>
      </c>
      <c r="J349" s="6">
        <v>2</v>
      </c>
      <c r="K349" s="7" t="str">
        <f t="shared" si="12"/>
        <v>CF</v>
      </c>
      <c r="L349" t="b">
        <f t="shared" si="11"/>
        <v>0</v>
      </c>
    </row>
    <row r="350" spans="1:12" x14ac:dyDescent="0.2">
      <c r="A350" t="s">
        <v>132</v>
      </c>
      <c r="B350" s="6">
        <v>0</v>
      </c>
      <c r="C350" s="6">
        <v>9</v>
      </c>
      <c r="D350" s="6">
        <v>17</v>
      </c>
      <c r="E350" s="6">
        <v>3</v>
      </c>
      <c r="F350" s="6">
        <v>18</v>
      </c>
      <c r="G350" s="6">
        <v>0</v>
      </c>
      <c r="H350" s="6">
        <v>0</v>
      </c>
      <c r="I350" s="6">
        <v>0</v>
      </c>
      <c r="J350" s="6">
        <v>10</v>
      </c>
      <c r="K350" s="7" t="str">
        <f t="shared" si="12"/>
        <v>SS</v>
      </c>
      <c r="L350" t="b">
        <f t="shared" si="11"/>
        <v>0</v>
      </c>
    </row>
    <row r="351" spans="1:12" x14ac:dyDescent="0.2">
      <c r="A351" t="s">
        <v>618</v>
      </c>
      <c r="B351" s="6">
        <v>0</v>
      </c>
      <c r="C351" s="6">
        <v>0</v>
      </c>
      <c r="D351" s="6">
        <v>0</v>
      </c>
      <c r="E351" s="6">
        <v>31</v>
      </c>
      <c r="F351" s="6">
        <v>0</v>
      </c>
      <c r="G351" s="6">
        <v>0</v>
      </c>
      <c r="H351" s="6">
        <v>0</v>
      </c>
      <c r="I351" s="6">
        <v>0</v>
      </c>
      <c r="J351" s="6">
        <v>3</v>
      </c>
      <c r="K351" s="7" t="str">
        <f t="shared" si="12"/>
        <v>3B</v>
      </c>
      <c r="L351" t="b">
        <f t="shared" si="11"/>
        <v>0</v>
      </c>
    </row>
    <row r="352" spans="1:12" x14ac:dyDescent="0.2">
      <c r="A352" t="s">
        <v>306</v>
      </c>
      <c r="B352" s="6">
        <v>0</v>
      </c>
      <c r="C352" s="6">
        <v>0</v>
      </c>
      <c r="D352" s="6">
        <v>0</v>
      </c>
      <c r="E352" s="6">
        <v>0</v>
      </c>
      <c r="F352" s="6">
        <v>0</v>
      </c>
      <c r="G352" s="6">
        <v>29</v>
      </c>
      <c r="H352" s="6">
        <v>11</v>
      </c>
      <c r="I352" s="6">
        <v>10</v>
      </c>
      <c r="J352" s="6">
        <v>17</v>
      </c>
      <c r="K352" s="7" t="str">
        <f t="shared" si="12"/>
        <v>LF</v>
      </c>
      <c r="L352" t="b">
        <f t="shared" si="11"/>
        <v>0</v>
      </c>
    </row>
    <row r="353" spans="1:12" x14ac:dyDescent="0.2">
      <c r="A353" t="s">
        <v>491</v>
      </c>
      <c r="B353" s="6">
        <v>0</v>
      </c>
      <c r="C353" s="6">
        <v>0</v>
      </c>
      <c r="D353" s="6">
        <v>0</v>
      </c>
      <c r="E353" s="6">
        <v>0</v>
      </c>
      <c r="F353" s="6">
        <v>0</v>
      </c>
      <c r="G353" s="6">
        <v>0</v>
      </c>
      <c r="H353" s="6">
        <v>1</v>
      </c>
      <c r="I353" s="6">
        <v>29</v>
      </c>
      <c r="J353" s="6">
        <v>0</v>
      </c>
      <c r="K353" s="7" t="str">
        <f t="shared" si="12"/>
        <v>RF</v>
      </c>
      <c r="L353" t="b">
        <f t="shared" si="11"/>
        <v>0</v>
      </c>
    </row>
    <row r="354" spans="1:12" x14ac:dyDescent="0.2">
      <c r="A354" t="s">
        <v>281</v>
      </c>
      <c r="B354" s="6">
        <v>0</v>
      </c>
      <c r="C354" s="6">
        <v>0</v>
      </c>
      <c r="D354" s="6">
        <v>0</v>
      </c>
      <c r="E354" s="6">
        <v>31</v>
      </c>
      <c r="F354" s="6">
        <v>76</v>
      </c>
      <c r="G354" s="6">
        <v>0</v>
      </c>
      <c r="H354" s="6">
        <v>0</v>
      </c>
      <c r="I354" s="6">
        <v>0</v>
      </c>
      <c r="J354" s="6">
        <v>2</v>
      </c>
      <c r="K354" s="7" t="str">
        <f t="shared" si="12"/>
        <v>SS</v>
      </c>
      <c r="L354" t="b">
        <f t="shared" si="11"/>
        <v>0</v>
      </c>
    </row>
    <row r="355" spans="1:12" x14ac:dyDescent="0.2">
      <c r="A355" t="s">
        <v>619</v>
      </c>
      <c r="B355" s="6">
        <v>0</v>
      </c>
      <c r="C355" s="6">
        <v>0</v>
      </c>
      <c r="D355" s="6">
        <v>1</v>
      </c>
      <c r="E355" s="6">
        <v>0</v>
      </c>
      <c r="F355" s="6">
        <v>0</v>
      </c>
      <c r="G355" s="6">
        <v>5</v>
      </c>
      <c r="H355" s="6">
        <v>0</v>
      </c>
      <c r="I355" s="6">
        <v>0</v>
      </c>
      <c r="J355" s="6">
        <v>1</v>
      </c>
      <c r="K355" s="7" t="str">
        <f t="shared" si="12"/>
        <v>LF</v>
      </c>
      <c r="L355" t="b">
        <f t="shared" si="11"/>
        <v>0</v>
      </c>
    </row>
    <row r="356" spans="1:12" x14ac:dyDescent="0.2">
      <c r="A356" t="s">
        <v>620</v>
      </c>
      <c r="B356" s="6">
        <v>0</v>
      </c>
      <c r="C356" s="6">
        <v>3</v>
      </c>
      <c r="D356" s="6">
        <v>1</v>
      </c>
      <c r="E356" s="6">
        <v>0</v>
      </c>
      <c r="F356" s="6">
        <v>0</v>
      </c>
      <c r="G356" s="6">
        <v>2</v>
      </c>
      <c r="H356" s="6">
        <v>2</v>
      </c>
      <c r="I356" s="6">
        <v>0</v>
      </c>
      <c r="J356" s="6">
        <v>2</v>
      </c>
      <c r="K356" s="7" t="str">
        <f t="shared" si="12"/>
        <v>1B</v>
      </c>
      <c r="L356" t="b">
        <f t="shared" si="11"/>
        <v>0</v>
      </c>
    </row>
    <row r="357" spans="1:12" x14ac:dyDescent="0.2">
      <c r="A357" t="s">
        <v>621</v>
      </c>
      <c r="B357" s="6">
        <v>0</v>
      </c>
      <c r="C357" s="6">
        <v>0</v>
      </c>
      <c r="D357" s="6">
        <v>0</v>
      </c>
      <c r="E357" s="6">
        <v>0</v>
      </c>
      <c r="F357" s="6">
        <v>0</v>
      </c>
      <c r="G357" s="6">
        <v>3</v>
      </c>
      <c r="H357" s="6">
        <v>0</v>
      </c>
      <c r="I357" s="6">
        <v>1</v>
      </c>
      <c r="J357" s="6">
        <v>1</v>
      </c>
      <c r="K357" s="7" t="str">
        <f t="shared" si="12"/>
        <v>LF</v>
      </c>
      <c r="L357" t="b">
        <f t="shared" si="11"/>
        <v>0</v>
      </c>
    </row>
    <row r="358" spans="1:12" x14ac:dyDescent="0.2">
      <c r="A358" t="s">
        <v>269</v>
      </c>
      <c r="B358" s="6">
        <v>0</v>
      </c>
      <c r="C358" s="6">
        <v>14</v>
      </c>
      <c r="D358" s="6">
        <v>0</v>
      </c>
      <c r="E358" s="6">
        <v>0</v>
      </c>
      <c r="F358" s="6">
        <v>0</v>
      </c>
      <c r="G358" s="6">
        <v>0</v>
      </c>
      <c r="H358" s="6">
        <v>0</v>
      </c>
      <c r="I358" s="6">
        <v>0</v>
      </c>
      <c r="J358" s="6">
        <v>8</v>
      </c>
      <c r="K358" s="7" t="str">
        <f t="shared" si="12"/>
        <v>1B</v>
      </c>
      <c r="L358" t="b">
        <f t="shared" si="11"/>
        <v>0</v>
      </c>
    </row>
    <row r="359" spans="1:12" x14ac:dyDescent="0.2">
      <c r="A359" t="s">
        <v>113</v>
      </c>
      <c r="B359" s="6">
        <v>61</v>
      </c>
      <c r="C359" s="6">
        <v>0</v>
      </c>
      <c r="D359" s="6">
        <v>0</v>
      </c>
      <c r="E359" s="6">
        <v>0</v>
      </c>
      <c r="F359" s="6">
        <v>0</v>
      </c>
      <c r="G359" s="6">
        <v>0</v>
      </c>
      <c r="H359" s="6">
        <v>0</v>
      </c>
      <c r="I359" s="6">
        <v>0</v>
      </c>
      <c r="J359" s="6">
        <v>8</v>
      </c>
      <c r="K359" s="7" t="str">
        <f t="shared" si="12"/>
        <v>C</v>
      </c>
      <c r="L359" t="b">
        <f t="shared" si="11"/>
        <v>0</v>
      </c>
    </row>
    <row r="360" spans="1:12" x14ac:dyDescent="0.2">
      <c r="A360" t="s">
        <v>622</v>
      </c>
      <c r="B360" s="6">
        <v>0</v>
      </c>
      <c r="C360" s="6">
        <v>2</v>
      </c>
      <c r="D360" s="6">
        <v>0</v>
      </c>
      <c r="E360" s="6">
        <v>0</v>
      </c>
      <c r="F360" s="6">
        <v>0</v>
      </c>
      <c r="G360" s="6">
        <v>0</v>
      </c>
      <c r="H360" s="6">
        <v>0</v>
      </c>
      <c r="I360" s="6">
        <v>0</v>
      </c>
      <c r="J360" s="6">
        <v>2</v>
      </c>
      <c r="K360" s="7" t="str">
        <f t="shared" si="12"/>
        <v>1B</v>
      </c>
      <c r="L360" t="b">
        <f t="shared" si="11"/>
        <v>1</v>
      </c>
    </row>
    <row r="361" spans="1:12" x14ac:dyDescent="0.2">
      <c r="A361" t="s">
        <v>330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  <c r="G361" s="6">
        <v>0</v>
      </c>
      <c r="H361" s="6">
        <v>80</v>
      </c>
      <c r="I361" s="6">
        <v>0</v>
      </c>
      <c r="J361" s="6">
        <v>0</v>
      </c>
      <c r="K361" s="7" t="str">
        <f t="shared" si="12"/>
        <v>CF</v>
      </c>
      <c r="L361" t="b">
        <f t="shared" si="11"/>
        <v>0</v>
      </c>
    </row>
    <row r="362" spans="1:12" x14ac:dyDescent="0.2">
      <c r="A362" t="s">
        <v>131</v>
      </c>
      <c r="B362" s="6">
        <v>0</v>
      </c>
      <c r="C362" s="6">
        <v>0</v>
      </c>
      <c r="D362" s="6">
        <v>0</v>
      </c>
      <c r="E362" s="6">
        <v>89</v>
      </c>
      <c r="F362" s="6">
        <v>0</v>
      </c>
      <c r="G362" s="6">
        <v>0</v>
      </c>
      <c r="H362" s="6">
        <v>0</v>
      </c>
      <c r="I362" s="6">
        <v>0</v>
      </c>
      <c r="J362" s="6">
        <v>0</v>
      </c>
      <c r="K362" s="7" t="str">
        <f t="shared" si="12"/>
        <v>3B</v>
      </c>
      <c r="L362" t="b">
        <f t="shared" si="11"/>
        <v>0</v>
      </c>
    </row>
    <row r="363" spans="1:12" x14ac:dyDescent="0.2">
      <c r="A363" t="s">
        <v>131</v>
      </c>
      <c r="B363" s="6">
        <v>0</v>
      </c>
      <c r="C363" s="6">
        <v>0</v>
      </c>
      <c r="D363" s="6">
        <v>0</v>
      </c>
      <c r="E363" s="6">
        <v>43</v>
      </c>
      <c r="F363" s="6">
        <v>1</v>
      </c>
      <c r="G363" s="6">
        <v>0</v>
      </c>
      <c r="H363" s="6">
        <v>0</v>
      </c>
      <c r="I363" s="6">
        <v>0</v>
      </c>
      <c r="J363" s="6">
        <v>3</v>
      </c>
      <c r="K363" s="7" t="str">
        <f t="shared" si="12"/>
        <v>3B</v>
      </c>
      <c r="L363" t="b">
        <f t="shared" si="11"/>
        <v>0</v>
      </c>
    </row>
    <row r="364" spans="1:12" x14ac:dyDescent="0.2">
      <c r="A364" t="s">
        <v>290</v>
      </c>
      <c r="B364" s="6">
        <v>0</v>
      </c>
      <c r="C364" s="6">
        <v>54</v>
      </c>
      <c r="D364" s="6">
        <v>0</v>
      </c>
      <c r="E364" s="6">
        <v>0</v>
      </c>
      <c r="F364" s="6">
        <v>0</v>
      </c>
      <c r="G364" s="6">
        <v>0</v>
      </c>
      <c r="H364" s="6">
        <v>0</v>
      </c>
      <c r="I364" s="6">
        <v>0</v>
      </c>
      <c r="J364" s="6">
        <v>5</v>
      </c>
      <c r="K364" s="7" t="str">
        <f t="shared" si="12"/>
        <v>1B</v>
      </c>
      <c r="L364" t="b">
        <f t="shared" si="11"/>
        <v>0</v>
      </c>
    </row>
    <row r="365" spans="1:12" x14ac:dyDescent="0.2">
      <c r="A365" t="s">
        <v>623</v>
      </c>
      <c r="B365" s="6">
        <v>4</v>
      </c>
      <c r="C365" s="6">
        <v>0</v>
      </c>
      <c r="D365" s="6">
        <v>0</v>
      </c>
      <c r="E365" s="6">
        <v>0</v>
      </c>
      <c r="F365" s="6">
        <v>0</v>
      </c>
      <c r="G365" s="6">
        <v>0</v>
      </c>
      <c r="H365" s="6">
        <v>0</v>
      </c>
      <c r="I365" s="6">
        <v>0</v>
      </c>
      <c r="J365" s="6">
        <v>0</v>
      </c>
      <c r="K365" s="7" t="str">
        <f t="shared" si="12"/>
        <v>C</v>
      </c>
      <c r="L365" t="b">
        <f t="shared" si="11"/>
        <v>0</v>
      </c>
    </row>
    <row r="366" spans="1:12" x14ac:dyDescent="0.2">
      <c r="A366" t="s">
        <v>252</v>
      </c>
      <c r="B366" s="6">
        <v>0</v>
      </c>
      <c r="C366" s="6">
        <v>0</v>
      </c>
      <c r="D366" s="6">
        <v>0</v>
      </c>
      <c r="E366" s="6">
        <v>3</v>
      </c>
      <c r="F366" s="6">
        <v>3</v>
      </c>
      <c r="G366" s="6">
        <v>7</v>
      </c>
      <c r="H366" s="6">
        <v>0</v>
      </c>
      <c r="I366" s="6">
        <v>0</v>
      </c>
      <c r="J366" s="6">
        <v>0</v>
      </c>
      <c r="K366" s="7" t="str">
        <f t="shared" si="12"/>
        <v>LF</v>
      </c>
      <c r="L366" t="b">
        <f t="shared" si="11"/>
        <v>0</v>
      </c>
    </row>
    <row r="367" spans="1:12" x14ac:dyDescent="0.2">
      <c r="A367" t="s">
        <v>181</v>
      </c>
      <c r="B367" s="6">
        <v>0</v>
      </c>
      <c r="C367" s="6">
        <v>0</v>
      </c>
      <c r="D367" s="6">
        <v>0</v>
      </c>
      <c r="E367" s="6">
        <v>0</v>
      </c>
      <c r="F367" s="6">
        <v>0</v>
      </c>
      <c r="G367" s="6">
        <v>0</v>
      </c>
      <c r="H367" s="6">
        <v>54</v>
      </c>
      <c r="I367" s="6">
        <v>0</v>
      </c>
      <c r="J367" s="6">
        <v>5</v>
      </c>
      <c r="K367" s="7" t="str">
        <f t="shared" si="12"/>
        <v>CF</v>
      </c>
      <c r="L367" t="b">
        <f t="shared" si="11"/>
        <v>0</v>
      </c>
    </row>
    <row r="368" spans="1:12" x14ac:dyDescent="0.2">
      <c r="A368" t="s">
        <v>624</v>
      </c>
      <c r="B368" s="6">
        <v>52</v>
      </c>
      <c r="C368" s="6">
        <v>0</v>
      </c>
      <c r="D368" s="6">
        <v>0</v>
      </c>
      <c r="E368" s="6">
        <v>0</v>
      </c>
      <c r="F368" s="6">
        <v>0</v>
      </c>
      <c r="G368" s="6">
        <v>0</v>
      </c>
      <c r="H368" s="6">
        <v>0</v>
      </c>
      <c r="I368" s="6">
        <v>0</v>
      </c>
      <c r="J368" s="6">
        <v>1</v>
      </c>
      <c r="K368" s="7" t="str">
        <f t="shared" si="12"/>
        <v>C</v>
      </c>
      <c r="L368" t="b">
        <f t="shared" si="11"/>
        <v>0</v>
      </c>
    </row>
    <row r="369" spans="1:12" x14ac:dyDescent="0.2">
      <c r="A369" t="s">
        <v>625</v>
      </c>
      <c r="B369" s="6">
        <v>6</v>
      </c>
      <c r="C369" s="6">
        <v>0</v>
      </c>
      <c r="D369" s="6">
        <v>0</v>
      </c>
      <c r="E369" s="6">
        <v>0</v>
      </c>
      <c r="F369" s="6">
        <v>0</v>
      </c>
      <c r="G369" s="6">
        <v>0</v>
      </c>
      <c r="H369" s="6">
        <v>0</v>
      </c>
      <c r="I369" s="6">
        <v>0</v>
      </c>
      <c r="J369" s="6">
        <v>0</v>
      </c>
      <c r="K369" s="7" t="str">
        <f t="shared" si="12"/>
        <v>C</v>
      </c>
      <c r="L369" t="b">
        <f t="shared" si="11"/>
        <v>0</v>
      </c>
    </row>
    <row r="370" spans="1:12" x14ac:dyDescent="0.2">
      <c r="A370" t="s">
        <v>427</v>
      </c>
      <c r="B370" s="6">
        <v>27</v>
      </c>
      <c r="C370" s="6">
        <v>0</v>
      </c>
      <c r="D370" s="6">
        <v>0</v>
      </c>
      <c r="E370" s="6">
        <v>0</v>
      </c>
      <c r="F370" s="6">
        <v>0</v>
      </c>
      <c r="G370" s="6">
        <v>0</v>
      </c>
      <c r="H370" s="6">
        <v>0</v>
      </c>
      <c r="I370" s="6">
        <v>0</v>
      </c>
      <c r="J370" s="6">
        <v>0</v>
      </c>
      <c r="K370" s="7" t="str">
        <f t="shared" si="12"/>
        <v>C</v>
      </c>
      <c r="L370" t="b">
        <f t="shared" si="11"/>
        <v>0</v>
      </c>
    </row>
    <row r="371" spans="1:12" x14ac:dyDescent="0.2">
      <c r="A371" t="s">
        <v>345</v>
      </c>
      <c r="B371" s="6">
        <v>0</v>
      </c>
      <c r="C371" s="6">
        <v>90</v>
      </c>
      <c r="D371" s="6">
        <v>0</v>
      </c>
      <c r="E371" s="6">
        <v>0</v>
      </c>
      <c r="F371" s="6">
        <v>0</v>
      </c>
      <c r="G371" s="6">
        <v>0</v>
      </c>
      <c r="H371" s="6">
        <v>0</v>
      </c>
      <c r="I371" s="6">
        <v>0</v>
      </c>
      <c r="J371" s="6">
        <v>0</v>
      </c>
      <c r="K371" s="7" t="str">
        <f t="shared" si="12"/>
        <v>1B</v>
      </c>
      <c r="L371" t="b">
        <f t="shared" si="11"/>
        <v>0</v>
      </c>
    </row>
    <row r="372" spans="1:12" x14ac:dyDescent="0.2">
      <c r="A372" t="s">
        <v>21</v>
      </c>
      <c r="B372" s="6">
        <v>0</v>
      </c>
      <c r="C372" s="6">
        <v>0</v>
      </c>
      <c r="D372" s="6">
        <v>0</v>
      </c>
      <c r="E372" s="6">
        <v>0</v>
      </c>
      <c r="F372" s="6">
        <v>93</v>
      </c>
      <c r="G372" s="6">
        <v>0</v>
      </c>
      <c r="H372" s="6">
        <v>0</v>
      </c>
      <c r="I372" s="6">
        <v>0</v>
      </c>
      <c r="J372" s="6">
        <v>0</v>
      </c>
      <c r="K372" s="7" t="str">
        <f t="shared" si="12"/>
        <v>SS</v>
      </c>
      <c r="L372" t="b">
        <f t="shared" si="11"/>
        <v>0</v>
      </c>
    </row>
    <row r="373" spans="1:12" x14ac:dyDescent="0.2">
      <c r="A373" t="s">
        <v>342</v>
      </c>
      <c r="B373" s="6">
        <v>0</v>
      </c>
      <c r="C373" s="6">
        <v>0</v>
      </c>
      <c r="D373" s="6">
        <v>0</v>
      </c>
      <c r="E373" s="6">
        <v>0</v>
      </c>
      <c r="F373" s="6">
        <v>0</v>
      </c>
      <c r="G373" s="6">
        <v>0</v>
      </c>
      <c r="H373" s="6">
        <v>1</v>
      </c>
      <c r="I373" s="6">
        <v>83</v>
      </c>
      <c r="J373" s="6">
        <v>7</v>
      </c>
      <c r="K373" s="7" t="str">
        <f t="shared" si="12"/>
        <v>RF</v>
      </c>
      <c r="L373" t="b">
        <f t="shared" si="11"/>
        <v>0</v>
      </c>
    </row>
    <row r="374" spans="1:12" x14ac:dyDescent="0.2">
      <c r="A374" t="s">
        <v>626</v>
      </c>
      <c r="B374" s="6">
        <v>0</v>
      </c>
      <c r="C374" s="6">
        <v>0</v>
      </c>
      <c r="D374" s="6">
        <v>1</v>
      </c>
      <c r="E374" s="6">
        <v>0</v>
      </c>
      <c r="F374" s="6">
        <v>0</v>
      </c>
      <c r="G374" s="6">
        <v>0</v>
      </c>
      <c r="H374" s="6">
        <v>1</v>
      </c>
      <c r="I374" s="6">
        <v>11</v>
      </c>
      <c r="J374" s="6">
        <v>0</v>
      </c>
      <c r="K374" s="7" t="str">
        <f t="shared" si="12"/>
        <v>RF</v>
      </c>
      <c r="L374" t="b">
        <f t="shared" si="11"/>
        <v>0</v>
      </c>
    </row>
    <row r="375" spans="1:12" x14ac:dyDescent="0.2">
      <c r="A375" t="s">
        <v>411</v>
      </c>
      <c r="B375" s="6">
        <v>0</v>
      </c>
      <c r="C375" s="6">
        <v>0</v>
      </c>
      <c r="D375" s="6">
        <v>0</v>
      </c>
      <c r="E375" s="6">
        <v>0</v>
      </c>
      <c r="F375" s="6">
        <v>0</v>
      </c>
      <c r="G375" s="6">
        <v>26</v>
      </c>
      <c r="H375" s="6">
        <v>5</v>
      </c>
      <c r="I375" s="6">
        <v>4</v>
      </c>
      <c r="J375" s="6">
        <v>1</v>
      </c>
      <c r="K375" s="7" t="str">
        <f t="shared" si="12"/>
        <v>LF</v>
      </c>
      <c r="L375" t="b">
        <f t="shared" si="11"/>
        <v>0</v>
      </c>
    </row>
    <row r="376" spans="1:12" x14ac:dyDescent="0.2">
      <c r="A376" t="s">
        <v>144</v>
      </c>
      <c r="B376" s="6">
        <v>0</v>
      </c>
      <c r="C376" s="6">
        <v>43</v>
      </c>
      <c r="D376" s="6">
        <v>0</v>
      </c>
      <c r="E376" s="6">
        <v>13</v>
      </c>
      <c r="F376" s="6">
        <v>0</v>
      </c>
      <c r="G376" s="6">
        <v>0</v>
      </c>
      <c r="H376" s="6">
        <v>0</v>
      </c>
      <c r="I376" s="6">
        <v>0</v>
      </c>
      <c r="J376" s="6">
        <v>12</v>
      </c>
      <c r="K376" s="7" t="str">
        <f t="shared" si="12"/>
        <v>1B</v>
      </c>
      <c r="L376" t="b">
        <f t="shared" si="11"/>
        <v>0</v>
      </c>
    </row>
    <row r="377" spans="1:12" x14ac:dyDescent="0.2">
      <c r="A377" t="s">
        <v>627</v>
      </c>
      <c r="B377" s="6">
        <v>0</v>
      </c>
      <c r="C377" s="6">
        <v>0</v>
      </c>
      <c r="D377" s="6">
        <v>79</v>
      </c>
      <c r="E377" s="6">
        <v>0</v>
      </c>
      <c r="F377" s="6">
        <v>12</v>
      </c>
      <c r="G377" s="6">
        <v>0</v>
      </c>
      <c r="H377" s="6">
        <v>0</v>
      </c>
      <c r="I377" s="6">
        <v>0</v>
      </c>
      <c r="J377" s="6">
        <v>1</v>
      </c>
      <c r="K377" s="7" t="str">
        <f t="shared" si="12"/>
        <v>2B</v>
      </c>
      <c r="L377" t="b">
        <f t="shared" si="11"/>
        <v>0</v>
      </c>
    </row>
    <row r="378" spans="1:12" x14ac:dyDescent="0.2">
      <c r="A378" t="s">
        <v>295</v>
      </c>
      <c r="B378" s="6">
        <v>0</v>
      </c>
      <c r="C378" s="6">
        <v>39</v>
      </c>
      <c r="D378" s="6">
        <v>0</v>
      </c>
      <c r="E378" s="6">
        <v>0</v>
      </c>
      <c r="F378" s="6">
        <v>0</v>
      </c>
      <c r="G378" s="6">
        <v>0</v>
      </c>
      <c r="H378" s="6">
        <v>0</v>
      </c>
      <c r="I378" s="6">
        <v>42</v>
      </c>
      <c r="J378" s="6">
        <v>13</v>
      </c>
      <c r="K378" s="7" t="str">
        <f t="shared" si="12"/>
        <v>RF</v>
      </c>
      <c r="L378" t="b">
        <f t="shared" si="11"/>
        <v>0</v>
      </c>
    </row>
    <row r="379" spans="1:12" x14ac:dyDescent="0.2">
      <c r="A379" t="s">
        <v>145</v>
      </c>
      <c r="B379" s="6">
        <v>67</v>
      </c>
      <c r="C379" s="6">
        <v>0</v>
      </c>
      <c r="D379" s="6">
        <v>0</v>
      </c>
      <c r="E379" s="6">
        <v>0</v>
      </c>
      <c r="F379" s="6">
        <v>0</v>
      </c>
      <c r="G379" s="6">
        <v>0</v>
      </c>
      <c r="H379" s="6">
        <v>0</v>
      </c>
      <c r="I379" s="6">
        <v>0</v>
      </c>
      <c r="J379" s="6">
        <v>0</v>
      </c>
      <c r="K379" s="7" t="str">
        <f t="shared" si="12"/>
        <v>C</v>
      </c>
      <c r="L379" t="b">
        <f t="shared" si="11"/>
        <v>0</v>
      </c>
    </row>
    <row r="380" spans="1:12" x14ac:dyDescent="0.2">
      <c r="A380" t="s">
        <v>119</v>
      </c>
      <c r="B380" s="6">
        <v>0</v>
      </c>
      <c r="C380" s="6">
        <v>0</v>
      </c>
      <c r="D380" s="6">
        <v>0</v>
      </c>
      <c r="E380" s="6">
        <v>0</v>
      </c>
      <c r="F380" s="6">
        <v>0</v>
      </c>
      <c r="G380" s="6">
        <v>0</v>
      </c>
      <c r="H380" s="6">
        <v>0</v>
      </c>
      <c r="I380" s="6">
        <v>52</v>
      </c>
      <c r="J380" s="6">
        <v>4</v>
      </c>
      <c r="K380" s="7" t="str">
        <f t="shared" si="12"/>
        <v>RF</v>
      </c>
      <c r="L380" t="b">
        <f t="shared" si="11"/>
        <v>0</v>
      </c>
    </row>
    <row r="381" spans="1:12" x14ac:dyDescent="0.2">
      <c r="A381" t="s">
        <v>282</v>
      </c>
      <c r="B381" s="6">
        <v>0</v>
      </c>
      <c r="C381" s="6">
        <v>0</v>
      </c>
      <c r="D381" s="6">
        <v>0</v>
      </c>
      <c r="E381" s="6">
        <v>0</v>
      </c>
      <c r="F381" s="6">
        <v>0</v>
      </c>
      <c r="G381" s="6">
        <v>0</v>
      </c>
      <c r="H381" s="6">
        <v>0</v>
      </c>
      <c r="I381" s="6">
        <v>0</v>
      </c>
      <c r="J381" s="6">
        <v>87</v>
      </c>
      <c r="K381" s="7" t="str">
        <f t="shared" si="12"/>
        <v>DH</v>
      </c>
      <c r="L381" t="b">
        <f t="shared" si="11"/>
        <v>0</v>
      </c>
    </row>
    <row r="382" spans="1:12" x14ac:dyDescent="0.2">
      <c r="A382" t="s">
        <v>13</v>
      </c>
      <c r="B382" s="6">
        <v>0</v>
      </c>
      <c r="C382" s="6">
        <v>2</v>
      </c>
      <c r="D382" s="6">
        <v>0</v>
      </c>
      <c r="E382" s="6">
        <v>91</v>
      </c>
      <c r="F382" s="6">
        <v>0</v>
      </c>
      <c r="G382" s="6">
        <v>0</v>
      </c>
      <c r="H382" s="6">
        <v>0</v>
      </c>
      <c r="I382" s="6">
        <v>0</v>
      </c>
      <c r="J382" s="6">
        <v>1</v>
      </c>
      <c r="K382" s="7" t="str">
        <f t="shared" si="12"/>
        <v>3B</v>
      </c>
      <c r="L382" t="b">
        <f t="shared" si="11"/>
        <v>0</v>
      </c>
    </row>
    <row r="383" spans="1:12" x14ac:dyDescent="0.2">
      <c r="A383" t="s">
        <v>628</v>
      </c>
      <c r="B383" s="6">
        <v>0</v>
      </c>
      <c r="C383" s="6">
        <v>0</v>
      </c>
      <c r="D383" s="6">
        <v>0</v>
      </c>
      <c r="E383" s="6">
        <v>0</v>
      </c>
      <c r="F383" s="6">
        <v>0</v>
      </c>
      <c r="G383" s="6">
        <v>1</v>
      </c>
      <c r="H383" s="6">
        <v>3</v>
      </c>
      <c r="I383" s="6">
        <v>0</v>
      </c>
      <c r="J383" s="6">
        <v>0</v>
      </c>
      <c r="K383" s="7" t="str">
        <f t="shared" si="12"/>
        <v>CF</v>
      </c>
      <c r="L383" t="b">
        <f t="shared" si="11"/>
        <v>0</v>
      </c>
    </row>
    <row r="384" spans="1:12" x14ac:dyDescent="0.2">
      <c r="A384" t="s">
        <v>280</v>
      </c>
      <c r="B384" s="6">
        <v>0</v>
      </c>
      <c r="C384" s="6">
        <v>94</v>
      </c>
      <c r="D384" s="6">
        <v>0</v>
      </c>
      <c r="E384" s="6">
        <v>0</v>
      </c>
      <c r="F384" s="6">
        <v>0</v>
      </c>
      <c r="G384" s="6">
        <v>0</v>
      </c>
      <c r="H384" s="6">
        <v>0</v>
      </c>
      <c r="I384" s="6">
        <v>1</v>
      </c>
      <c r="J384" s="6">
        <v>0</v>
      </c>
      <c r="K384" s="7" t="str">
        <f t="shared" si="12"/>
        <v>1B</v>
      </c>
      <c r="L384" t="b">
        <f t="shared" si="11"/>
        <v>0</v>
      </c>
    </row>
    <row r="385" spans="1:12" x14ac:dyDescent="0.2">
      <c r="A385" t="s">
        <v>629</v>
      </c>
      <c r="B385" s="6">
        <v>0</v>
      </c>
      <c r="C385" s="6">
        <v>0</v>
      </c>
      <c r="D385" s="6">
        <v>0</v>
      </c>
      <c r="E385" s="6">
        <v>0</v>
      </c>
      <c r="F385" s="6">
        <v>0</v>
      </c>
      <c r="G385" s="6">
        <v>0</v>
      </c>
      <c r="H385" s="6">
        <v>0</v>
      </c>
      <c r="I385" s="6">
        <v>0</v>
      </c>
      <c r="J385" s="6">
        <v>1</v>
      </c>
      <c r="K385" s="7" t="str">
        <f t="shared" si="12"/>
        <v>DH</v>
      </c>
      <c r="L385" t="b">
        <f t="shared" si="11"/>
        <v>0</v>
      </c>
    </row>
    <row r="386" spans="1:12" x14ac:dyDescent="0.2">
      <c r="A386" t="s">
        <v>169</v>
      </c>
      <c r="B386" s="6">
        <v>0</v>
      </c>
      <c r="C386" s="6">
        <v>0</v>
      </c>
      <c r="D386" s="6">
        <v>1</v>
      </c>
      <c r="E386" s="6">
        <v>20</v>
      </c>
      <c r="F386" s="6">
        <v>66</v>
      </c>
      <c r="G386" s="6">
        <v>0</v>
      </c>
      <c r="H386" s="6">
        <v>0</v>
      </c>
      <c r="I386" s="6">
        <v>0</v>
      </c>
      <c r="J386" s="6">
        <v>0</v>
      </c>
      <c r="K386" s="7" t="str">
        <f t="shared" si="12"/>
        <v>SS</v>
      </c>
      <c r="L386" t="b">
        <f t="shared" si="11"/>
        <v>0</v>
      </c>
    </row>
    <row r="387" spans="1:12" x14ac:dyDescent="0.2">
      <c r="A387" t="s">
        <v>436</v>
      </c>
      <c r="B387" s="6">
        <v>0</v>
      </c>
      <c r="C387" s="6">
        <v>0</v>
      </c>
      <c r="D387" s="6">
        <v>0</v>
      </c>
      <c r="E387" s="6">
        <v>0</v>
      </c>
      <c r="F387" s="6">
        <v>0</v>
      </c>
      <c r="G387" s="6">
        <v>51</v>
      </c>
      <c r="H387" s="6">
        <v>15</v>
      </c>
      <c r="I387" s="6">
        <v>11</v>
      </c>
      <c r="J387" s="6">
        <v>0</v>
      </c>
      <c r="K387" s="7" t="str">
        <f t="shared" si="12"/>
        <v>LF</v>
      </c>
      <c r="L387" t="b">
        <f t="shared" ref="L387:L450" si="13">COUNTIF(B387:J387, MAX(B387:J387)) &gt; 1</f>
        <v>0</v>
      </c>
    </row>
    <row r="388" spans="1:12" x14ac:dyDescent="0.2">
      <c r="A388" t="s">
        <v>409</v>
      </c>
      <c r="B388" s="6">
        <v>0</v>
      </c>
      <c r="C388" s="6">
        <v>0</v>
      </c>
      <c r="D388" s="6">
        <v>0</v>
      </c>
      <c r="E388" s="6">
        <v>0</v>
      </c>
      <c r="F388" s="6">
        <v>0</v>
      </c>
      <c r="G388" s="6">
        <v>18</v>
      </c>
      <c r="H388" s="6">
        <v>42</v>
      </c>
      <c r="I388" s="6">
        <v>4</v>
      </c>
      <c r="J388" s="6">
        <v>3</v>
      </c>
      <c r="K388" s="7" t="str">
        <f t="shared" si="12"/>
        <v>CF</v>
      </c>
      <c r="L388" t="b">
        <f t="shared" si="13"/>
        <v>0</v>
      </c>
    </row>
    <row r="389" spans="1:12" x14ac:dyDescent="0.2">
      <c r="A389" t="s">
        <v>91</v>
      </c>
      <c r="B389" s="6">
        <v>0</v>
      </c>
      <c r="C389" s="6">
        <v>0</v>
      </c>
      <c r="D389" s="6">
        <v>0</v>
      </c>
      <c r="E389" s="6">
        <v>0</v>
      </c>
      <c r="F389" s="6">
        <v>0</v>
      </c>
      <c r="G389" s="6">
        <v>0</v>
      </c>
      <c r="H389" s="6">
        <v>0</v>
      </c>
      <c r="I389" s="6">
        <v>0</v>
      </c>
      <c r="J389" s="6">
        <v>58</v>
      </c>
      <c r="K389" s="7" t="str">
        <f t="shared" si="12"/>
        <v>DH</v>
      </c>
      <c r="L389" t="b">
        <f t="shared" si="13"/>
        <v>0</v>
      </c>
    </row>
    <row r="390" spans="1:12" x14ac:dyDescent="0.2">
      <c r="A390" t="s">
        <v>30</v>
      </c>
      <c r="B390" s="6">
        <v>0</v>
      </c>
      <c r="C390" s="6">
        <v>0</v>
      </c>
      <c r="D390" s="6">
        <v>0</v>
      </c>
      <c r="E390" s="6">
        <v>0</v>
      </c>
      <c r="F390" s="6">
        <v>0</v>
      </c>
      <c r="G390" s="6">
        <v>0</v>
      </c>
      <c r="H390" s="6">
        <v>94</v>
      </c>
      <c r="I390" s="6">
        <v>0</v>
      </c>
      <c r="J390" s="6">
        <v>1</v>
      </c>
      <c r="K390" s="7" t="str">
        <f t="shared" si="12"/>
        <v>CF</v>
      </c>
      <c r="L390" t="b">
        <f t="shared" si="13"/>
        <v>0</v>
      </c>
    </row>
    <row r="391" spans="1:12" x14ac:dyDescent="0.2">
      <c r="A391" t="s">
        <v>630</v>
      </c>
      <c r="B391" s="6">
        <v>52</v>
      </c>
      <c r="C391" s="6">
        <v>3</v>
      </c>
      <c r="D391" s="6">
        <v>0</v>
      </c>
      <c r="E391" s="6">
        <v>0</v>
      </c>
      <c r="F391" s="6">
        <v>0</v>
      </c>
      <c r="G391" s="6">
        <v>0</v>
      </c>
      <c r="H391" s="6">
        <v>0</v>
      </c>
      <c r="I391" s="6">
        <v>0</v>
      </c>
      <c r="J391" s="6">
        <v>0</v>
      </c>
      <c r="K391" s="7" t="str">
        <f t="shared" si="12"/>
        <v>C</v>
      </c>
      <c r="L391" t="b">
        <f t="shared" si="13"/>
        <v>0</v>
      </c>
    </row>
    <row r="392" spans="1:12" x14ac:dyDescent="0.2">
      <c r="A392" t="s">
        <v>403</v>
      </c>
      <c r="B392" s="6">
        <v>0</v>
      </c>
      <c r="C392" s="6">
        <v>0</v>
      </c>
      <c r="D392" s="6">
        <v>65</v>
      </c>
      <c r="E392" s="6">
        <v>2</v>
      </c>
      <c r="F392" s="6">
        <v>0</v>
      </c>
      <c r="G392" s="6">
        <v>1</v>
      </c>
      <c r="H392" s="6">
        <v>0</v>
      </c>
      <c r="I392" s="6">
        <v>1</v>
      </c>
      <c r="J392" s="6">
        <v>2</v>
      </c>
      <c r="K392" s="7" t="str">
        <f t="shared" si="12"/>
        <v>2B</v>
      </c>
      <c r="L392" t="b">
        <f t="shared" si="13"/>
        <v>0</v>
      </c>
    </row>
    <row r="393" spans="1:12" x14ac:dyDescent="0.2">
      <c r="A393" t="s">
        <v>47</v>
      </c>
      <c r="B393" s="6">
        <v>0</v>
      </c>
      <c r="C393" s="6">
        <v>12</v>
      </c>
      <c r="D393" s="6">
        <v>3</v>
      </c>
      <c r="E393" s="6">
        <v>76</v>
      </c>
      <c r="F393" s="6">
        <v>0</v>
      </c>
      <c r="G393" s="6">
        <v>0</v>
      </c>
      <c r="H393" s="6">
        <v>0</v>
      </c>
      <c r="I393" s="6">
        <v>0</v>
      </c>
      <c r="J393" s="6">
        <v>7</v>
      </c>
      <c r="K393" s="7" t="str">
        <f t="shared" si="12"/>
        <v>3B</v>
      </c>
      <c r="L393" t="b">
        <f t="shared" si="13"/>
        <v>0</v>
      </c>
    </row>
    <row r="394" spans="1:12" x14ac:dyDescent="0.2">
      <c r="A394" t="s">
        <v>368</v>
      </c>
      <c r="B394" s="6">
        <v>0</v>
      </c>
      <c r="C394" s="6">
        <v>68</v>
      </c>
      <c r="D394" s="6">
        <v>0</v>
      </c>
      <c r="E394" s="6">
        <v>0</v>
      </c>
      <c r="F394" s="6">
        <v>0</v>
      </c>
      <c r="G394" s="6">
        <v>0</v>
      </c>
      <c r="H394" s="6">
        <v>0</v>
      </c>
      <c r="I394" s="6">
        <v>0</v>
      </c>
      <c r="J394" s="6">
        <v>1</v>
      </c>
      <c r="K394" s="7" t="str">
        <f t="shared" ref="K394:K457" si="14">INDEX($B$1:$J$1, MATCH(MAX(B394:J394), B394:J394, 0))</f>
        <v>1B</v>
      </c>
      <c r="L394" t="b">
        <f t="shared" si="13"/>
        <v>0</v>
      </c>
    </row>
    <row r="395" spans="1:12" x14ac:dyDescent="0.2">
      <c r="A395" t="s">
        <v>443</v>
      </c>
      <c r="B395" s="6">
        <v>0</v>
      </c>
      <c r="C395" s="6">
        <v>7</v>
      </c>
      <c r="D395" s="6">
        <v>0</v>
      </c>
      <c r="E395" s="6">
        <v>33</v>
      </c>
      <c r="F395" s="6">
        <v>0</v>
      </c>
      <c r="G395" s="6">
        <v>0</v>
      </c>
      <c r="H395" s="6">
        <v>0</v>
      </c>
      <c r="I395" s="6">
        <v>0</v>
      </c>
      <c r="J395" s="6">
        <v>0</v>
      </c>
      <c r="K395" s="7" t="str">
        <f t="shared" si="14"/>
        <v>3B</v>
      </c>
      <c r="L395" t="b">
        <f t="shared" si="13"/>
        <v>0</v>
      </c>
    </row>
    <row r="396" spans="1:12" x14ac:dyDescent="0.2">
      <c r="A396" t="s">
        <v>304</v>
      </c>
      <c r="B396" s="6">
        <v>0</v>
      </c>
      <c r="C396" s="6">
        <v>3</v>
      </c>
      <c r="D396" s="6">
        <v>0</v>
      </c>
      <c r="E396" s="6">
        <v>0</v>
      </c>
      <c r="F396" s="6">
        <v>0</v>
      </c>
      <c r="G396" s="6">
        <v>0</v>
      </c>
      <c r="H396" s="6">
        <v>0</v>
      </c>
      <c r="I396" s="6">
        <v>3</v>
      </c>
      <c r="J396" s="6">
        <v>81</v>
      </c>
      <c r="K396" s="7" t="str">
        <f t="shared" si="14"/>
        <v>DH</v>
      </c>
      <c r="L396" t="b">
        <f t="shared" si="13"/>
        <v>0</v>
      </c>
    </row>
    <row r="397" spans="1:12" x14ac:dyDescent="0.2">
      <c r="A397" t="s">
        <v>631</v>
      </c>
      <c r="B397" s="6">
        <v>0</v>
      </c>
      <c r="C397" s="6">
        <v>0</v>
      </c>
      <c r="D397" s="6">
        <v>0</v>
      </c>
      <c r="E397" s="6">
        <v>0</v>
      </c>
      <c r="F397" s="6">
        <v>51</v>
      </c>
      <c r="G397" s="6">
        <v>0</v>
      </c>
      <c r="H397" s="6">
        <v>0</v>
      </c>
      <c r="I397" s="6">
        <v>0</v>
      </c>
      <c r="J397" s="6">
        <v>0</v>
      </c>
      <c r="K397" s="7" t="str">
        <f t="shared" si="14"/>
        <v>SS</v>
      </c>
      <c r="L397" t="b">
        <f t="shared" si="13"/>
        <v>0</v>
      </c>
    </row>
    <row r="398" spans="1:12" x14ac:dyDescent="0.2">
      <c r="A398" t="s">
        <v>97</v>
      </c>
      <c r="B398" s="6">
        <v>0</v>
      </c>
      <c r="C398" s="6">
        <v>1</v>
      </c>
      <c r="D398" s="6">
        <v>54</v>
      </c>
      <c r="E398" s="6">
        <v>27</v>
      </c>
      <c r="F398" s="6">
        <v>6</v>
      </c>
      <c r="G398" s="6">
        <v>0</v>
      </c>
      <c r="H398" s="6">
        <v>0</v>
      </c>
      <c r="I398" s="6">
        <v>0</v>
      </c>
      <c r="J398" s="6">
        <v>3</v>
      </c>
      <c r="K398" s="7" t="str">
        <f t="shared" si="14"/>
        <v>2B</v>
      </c>
      <c r="L398" t="b">
        <f t="shared" si="13"/>
        <v>0</v>
      </c>
    </row>
    <row r="399" spans="1:12" x14ac:dyDescent="0.2">
      <c r="A399" t="s">
        <v>480</v>
      </c>
      <c r="B399" s="6">
        <v>0</v>
      </c>
      <c r="C399" s="6">
        <v>0</v>
      </c>
      <c r="D399" s="6">
        <v>0</v>
      </c>
      <c r="E399" s="6">
        <v>0</v>
      </c>
      <c r="F399" s="6">
        <v>92</v>
      </c>
      <c r="G399" s="6">
        <v>0</v>
      </c>
      <c r="H399" s="6">
        <v>0</v>
      </c>
      <c r="I399" s="6">
        <v>0</v>
      </c>
      <c r="J399" s="6">
        <v>0</v>
      </c>
      <c r="K399" s="7" t="str">
        <f t="shared" si="14"/>
        <v>SS</v>
      </c>
      <c r="L399" t="b">
        <f t="shared" si="13"/>
        <v>0</v>
      </c>
    </row>
    <row r="400" spans="1:12" x14ac:dyDescent="0.2">
      <c r="A400" t="s">
        <v>208</v>
      </c>
      <c r="B400" s="6">
        <v>19</v>
      </c>
      <c r="C400" s="6">
        <v>0</v>
      </c>
      <c r="D400" s="6">
        <v>0</v>
      </c>
      <c r="E400" s="6">
        <v>0</v>
      </c>
      <c r="F400" s="6">
        <v>0</v>
      </c>
      <c r="G400" s="6">
        <v>0</v>
      </c>
      <c r="H400" s="6">
        <v>0</v>
      </c>
      <c r="I400" s="6">
        <v>0</v>
      </c>
      <c r="J400" s="6">
        <v>0</v>
      </c>
      <c r="K400" s="7" t="str">
        <f t="shared" si="14"/>
        <v>C</v>
      </c>
      <c r="L400" t="b">
        <f t="shared" si="13"/>
        <v>0</v>
      </c>
    </row>
    <row r="401" spans="1:12" x14ac:dyDescent="0.2">
      <c r="A401" t="s">
        <v>189</v>
      </c>
      <c r="B401" s="6">
        <v>0</v>
      </c>
      <c r="C401" s="6">
        <v>0</v>
      </c>
      <c r="D401" s="6">
        <v>0</v>
      </c>
      <c r="E401" s="6">
        <v>0</v>
      </c>
      <c r="F401" s="6">
        <v>0</v>
      </c>
      <c r="G401" s="6">
        <v>1</v>
      </c>
      <c r="H401" s="6">
        <v>2</v>
      </c>
      <c r="I401" s="6">
        <v>14</v>
      </c>
      <c r="J401" s="6">
        <v>4</v>
      </c>
      <c r="K401" s="7" t="str">
        <f t="shared" si="14"/>
        <v>RF</v>
      </c>
      <c r="L401" t="b">
        <f t="shared" si="13"/>
        <v>0</v>
      </c>
    </row>
    <row r="402" spans="1:12" x14ac:dyDescent="0.2">
      <c r="A402" t="s">
        <v>632</v>
      </c>
      <c r="B402" s="6">
        <v>0</v>
      </c>
      <c r="C402" s="6">
        <v>0</v>
      </c>
      <c r="D402" s="6">
        <v>0</v>
      </c>
      <c r="E402" s="6">
        <v>0</v>
      </c>
      <c r="F402" s="6">
        <v>0</v>
      </c>
      <c r="G402" s="6">
        <v>9</v>
      </c>
      <c r="H402" s="6">
        <v>7</v>
      </c>
      <c r="I402" s="6">
        <v>2</v>
      </c>
      <c r="J402" s="6">
        <v>0</v>
      </c>
      <c r="K402" s="7" t="str">
        <f t="shared" si="14"/>
        <v>LF</v>
      </c>
      <c r="L402" t="b">
        <f t="shared" si="13"/>
        <v>0</v>
      </c>
    </row>
    <row r="403" spans="1:12" x14ac:dyDescent="0.2">
      <c r="A403" t="s">
        <v>54</v>
      </c>
      <c r="B403" s="6">
        <v>38</v>
      </c>
      <c r="C403" s="6">
        <v>14</v>
      </c>
      <c r="D403" s="6">
        <v>0</v>
      </c>
      <c r="E403" s="6">
        <v>0</v>
      </c>
      <c r="F403" s="6">
        <v>0</v>
      </c>
      <c r="G403" s="6">
        <v>0</v>
      </c>
      <c r="H403" s="6">
        <v>0</v>
      </c>
      <c r="I403" s="6">
        <v>0</v>
      </c>
      <c r="J403" s="6">
        <v>38</v>
      </c>
      <c r="K403" s="7" t="str">
        <f t="shared" si="14"/>
        <v>C</v>
      </c>
      <c r="L403" t="b">
        <f t="shared" si="13"/>
        <v>1</v>
      </c>
    </row>
    <row r="404" spans="1:12" x14ac:dyDescent="0.2">
      <c r="A404" t="s">
        <v>633</v>
      </c>
      <c r="B404" s="6">
        <v>0</v>
      </c>
      <c r="C404" s="6">
        <v>0</v>
      </c>
      <c r="D404" s="6">
        <v>0</v>
      </c>
      <c r="E404" s="6">
        <v>0</v>
      </c>
      <c r="F404" s="6">
        <v>0</v>
      </c>
      <c r="G404" s="6">
        <v>1</v>
      </c>
      <c r="H404" s="6">
        <v>15</v>
      </c>
      <c r="I404" s="6">
        <v>45</v>
      </c>
      <c r="J404" s="6">
        <v>1</v>
      </c>
      <c r="K404" s="7" t="str">
        <f t="shared" si="14"/>
        <v>RF</v>
      </c>
      <c r="L404" t="b">
        <f t="shared" si="13"/>
        <v>0</v>
      </c>
    </row>
    <row r="405" spans="1:12" x14ac:dyDescent="0.2">
      <c r="A405" t="s">
        <v>501</v>
      </c>
      <c r="B405" s="6">
        <v>0</v>
      </c>
      <c r="C405" s="6">
        <v>0</v>
      </c>
      <c r="D405" s="6">
        <v>0</v>
      </c>
      <c r="E405" s="6">
        <v>0</v>
      </c>
      <c r="F405" s="6">
        <v>0</v>
      </c>
      <c r="G405" s="6">
        <v>8</v>
      </c>
      <c r="H405" s="6">
        <v>30</v>
      </c>
      <c r="I405" s="6">
        <v>12</v>
      </c>
      <c r="J405" s="6">
        <v>1</v>
      </c>
      <c r="K405" s="7" t="str">
        <f t="shared" si="14"/>
        <v>CF</v>
      </c>
      <c r="L405" t="b">
        <f t="shared" si="13"/>
        <v>0</v>
      </c>
    </row>
    <row r="406" spans="1:12" x14ac:dyDescent="0.2">
      <c r="A406" t="s">
        <v>370</v>
      </c>
      <c r="B406" s="6">
        <v>0</v>
      </c>
      <c r="C406" s="6">
        <v>0</v>
      </c>
      <c r="D406" s="6">
        <v>0</v>
      </c>
      <c r="E406" s="6">
        <v>0</v>
      </c>
      <c r="F406" s="6">
        <v>0</v>
      </c>
      <c r="G406" s="6">
        <v>5</v>
      </c>
      <c r="H406" s="6">
        <v>80</v>
      </c>
      <c r="I406" s="6">
        <v>10</v>
      </c>
      <c r="J406" s="6">
        <v>0</v>
      </c>
      <c r="K406" s="7" t="str">
        <f t="shared" si="14"/>
        <v>CF</v>
      </c>
      <c r="L406" t="b">
        <f t="shared" si="13"/>
        <v>0</v>
      </c>
    </row>
    <row r="407" spans="1:12" x14ac:dyDescent="0.2">
      <c r="A407" t="s">
        <v>634</v>
      </c>
      <c r="B407" s="6">
        <v>0</v>
      </c>
      <c r="C407" s="6">
        <v>0</v>
      </c>
      <c r="D407" s="6">
        <v>0</v>
      </c>
      <c r="E407" s="6">
        <v>0</v>
      </c>
      <c r="F407" s="6">
        <v>0</v>
      </c>
      <c r="G407" s="6">
        <v>6</v>
      </c>
      <c r="H407" s="6">
        <v>0</v>
      </c>
      <c r="I407" s="6">
        <v>0</v>
      </c>
      <c r="J407" s="6">
        <v>0</v>
      </c>
      <c r="K407" s="7" t="str">
        <f t="shared" si="14"/>
        <v>LF</v>
      </c>
      <c r="L407" t="b">
        <f t="shared" si="13"/>
        <v>0</v>
      </c>
    </row>
    <row r="408" spans="1:12" x14ac:dyDescent="0.2">
      <c r="A408" t="s">
        <v>635</v>
      </c>
      <c r="B408" s="6">
        <v>0</v>
      </c>
      <c r="C408" s="6">
        <v>0</v>
      </c>
      <c r="D408" s="6">
        <v>0</v>
      </c>
      <c r="E408" s="6">
        <v>0</v>
      </c>
      <c r="F408" s="6">
        <v>0</v>
      </c>
      <c r="G408" s="6">
        <v>38</v>
      </c>
      <c r="H408" s="6">
        <v>0</v>
      </c>
      <c r="I408" s="6">
        <v>19</v>
      </c>
      <c r="J408" s="6">
        <v>1</v>
      </c>
      <c r="K408" s="7" t="str">
        <f t="shared" si="14"/>
        <v>LF</v>
      </c>
      <c r="L408" t="b">
        <f t="shared" si="13"/>
        <v>0</v>
      </c>
    </row>
    <row r="409" spans="1:12" x14ac:dyDescent="0.2">
      <c r="A409" t="s">
        <v>502</v>
      </c>
      <c r="B409" s="6">
        <v>0</v>
      </c>
      <c r="C409" s="6">
        <v>2</v>
      </c>
      <c r="D409" s="6">
        <v>0</v>
      </c>
      <c r="E409" s="6">
        <v>0</v>
      </c>
      <c r="F409" s="6">
        <v>0</v>
      </c>
      <c r="G409" s="6">
        <v>0</v>
      </c>
      <c r="H409" s="6">
        <v>0</v>
      </c>
      <c r="I409" s="6">
        <v>0</v>
      </c>
      <c r="J409" s="6">
        <v>16</v>
      </c>
      <c r="K409" s="7" t="str">
        <f t="shared" si="14"/>
        <v>DH</v>
      </c>
      <c r="L409" t="b">
        <f t="shared" si="13"/>
        <v>0</v>
      </c>
    </row>
    <row r="410" spans="1:12" x14ac:dyDescent="0.2">
      <c r="A410" t="s">
        <v>636</v>
      </c>
      <c r="B410" s="6">
        <v>2</v>
      </c>
      <c r="C410" s="6">
        <v>0</v>
      </c>
      <c r="D410" s="6">
        <v>0</v>
      </c>
      <c r="E410" s="6">
        <v>0</v>
      </c>
      <c r="F410" s="6">
        <v>0</v>
      </c>
      <c r="G410" s="6">
        <v>0</v>
      </c>
      <c r="H410" s="6">
        <v>0</v>
      </c>
      <c r="I410" s="6">
        <v>0</v>
      </c>
      <c r="J410" s="6">
        <v>0</v>
      </c>
      <c r="K410" s="7" t="str">
        <f t="shared" si="14"/>
        <v>C</v>
      </c>
      <c r="L410" t="b">
        <f t="shared" si="13"/>
        <v>0</v>
      </c>
    </row>
    <row r="411" spans="1:12" x14ac:dyDescent="0.2">
      <c r="A411" t="s">
        <v>637</v>
      </c>
      <c r="B411" s="6">
        <v>6</v>
      </c>
      <c r="C411" s="6">
        <v>1</v>
      </c>
      <c r="D411" s="6">
        <v>0</v>
      </c>
      <c r="E411" s="6">
        <v>0</v>
      </c>
      <c r="F411" s="6">
        <v>0</v>
      </c>
      <c r="G411" s="6">
        <v>0</v>
      </c>
      <c r="H411" s="6">
        <v>0</v>
      </c>
      <c r="I411" s="6">
        <v>0</v>
      </c>
      <c r="J411" s="6">
        <v>6</v>
      </c>
      <c r="K411" s="7" t="str">
        <f t="shared" si="14"/>
        <v>C</v>
      </c>
      <c r="L411" t="b">
        <f t="shared" si="13"/>
        <v>1</v>
      </c>
    </row>
    <row r="412" spans="1:12" x14ac:dyDescent="0.2">
      <c r="A412" t="s">
        <v>266</v>
      </c>
      <c r="B412" s="6">
        <v>0</v>
      </c>
      <c r="C412" s="6">
        <v>0</v>
      </c>
      <c r="D412" s="6">
        <v>0</v>
      </c>
      <c r="E412" s="6">
        <v>0</v>
      </c>
      <c r="F412" s="6">
        <v>24</v>
      </c>
      <c r="G412" s="6">
        <v>0</v>
      </c>
      <c r="H412" s="6">
        <v>0</v>
      </c>
      <c r="I412" s="6">
        <v>0</v>
      </c>
      <c r="J412" s="6">
        <v>0</v>
      </c>
      <c r="K412" s="7" t="str">
        <f t="shared" si="14"/>
        <v>SS</v>
      </c>
      <c r="L412" t="b">
        <f t="shared" si="13"/>
        <v>0</v>
      </c>
    </row>
    <row r="413" spans="1:12" x14ac:dyDescent="0.2">
      <c r="A413" t="s">
        <v>638</v>
      </c>
      <c r="B413" s="6">
        <v>5</v>
      </c>
      <c r="C413" s="6">
        <v>1</v>
      </c>
      <c r="D413" s="6">
        <v>0</v>
      </c>
      <c r="E413" s="6">
        <v>0</v>
      </c>
      <c r="F413" s="6">
        <v>0</v>
      </c>
      <c r="G413" s="6">
        <v>0</v>
      </c>
      <c r="H413" s="6">
        <v>0</v>
      </c>
      <c r="I413" s="6">
        <v>0</v>
      </c>
      <c r="J413" s="6">
        <v>1</v>
      </c>
      <c r="K413" s="7" t="str">
        <f t="shared" si="14"/>
        <v>C</v>
      </c>
      <c r="L413" t="b">
        <f t="shared" si="13"/>
        <v>0</v>
      </c>
    </row>
    <row r="414" spans="1:12" x14ac:dyDescent="0.2">
      <c r="A414" t="s">
        <v>639</v>
      </c>
      <c r="B414" s="6">
        <v>0</v>
      </c>
      <c r="C414" s="6">
        <v>0</v>
      </c>
      <c r="D414" s="6">
        <v>0</v>
      </c>
      <c r="E414" s="6">
        <v>3</v>
      </c>
      <c r="F414" s="6">
        <v>2</v>
      </c>
      <c r="G414" s="6">
        <v>0</v>
      </c>
      <c r="H414" s="6">
        <v>0</v>
      </c>
      <c r="I414" s="6">
        <v>0</v>
      </c>
      <c r="J414" s="6">
        <v>0</v>
      </c>
      <c r="K414" s="7" t="str">
        <f t="shared" si="14"/>
        <v>3B</v>
      </c>
      <c r="L414" t="b">
        <f t="shared" si="13"/>
        <v>0</v>
      </c>
    </row>
    <row r="415" spans="1:12" x14ac:dyDescent="0.2">
      <c r="A415" t="s">
        <v>493</v>
      </c>
      <c r="B415" s="6">
        <v>45</v>
      </c>
      <c r="C415" s="6">
        <v>0</v>
      </c>
      <c r="D415" s="6">
        <v>0</v>
      </c>
      <c r="E415" s="6">
        <v>0</v>
      </c>
      <c r="F415" s="6">
        <v>0</v>
      </c>
      <c r="G415" s="6">
        <v>0</v>
      </c>
      <c r="H415" s="6">
        <v>0</v>
      </c>
      <c r="I415" s="6">
        <v>0</v>
      </c>
      <c r="J415" s="6">
        <v>4</v>
      </c>
      <c r="K415" s="7" t="str">
        <f t="shared" si="14"/>
        <v>C</v>
      </c>
      <c r="L415" t="b">
        <f t="shared" si="13"/>
        <v>0</v>
      </c>
    </row>
    <row r="416" spans="1:12" x14ac:dyDescent="0.2">
      <c r="A416" t="s">
        <v>640</v>
      </c>
      <c r="B416" s="6">
        <v>1</v>
      </c>
      <c r="C416" s="6">
        <v>0</v>
      </c>
      <c r="D416" s="6">
        <v>0</v>
      </c>
      <c r="E416" s="6">
        <v>0</v>
      </c>
      <c r="F416" s="6">
        <v>0</v>
      </c>
      <c r="G416" s="6">
        <v>0</v>
      </c>
      <c r="H416" s="6">
        <v>0</v>
      </c>
      <c r="I416" s="6">
        <v>0</v>
      </c>
      <c r="J416" s="6">
        <v>0</v>
      </c>
      <c r="K416" s="7" t="str">
        <f t="shared" si="14"/>
        <v>C</v>
      </c>
      <c r="L416" t="b">
        <f t="shared" si="13"/>
        <v>0</v>
      </c>
    </row>
    <row r="417" spans="1:12" x14ac:dyDescent="0.2">
      <c r="A417" t="s">
        <v>86</v>
      </c>
      <c r="B417" s="6">
        <v>0</v>
      </c>
      <c r="C417" s="6">
        <v>0</v>
      </c>
      <c r="D417" s="6">
        <v>0</v>
      </c>
      <c r="E417" s="6">
        <v>0</v>
      </c>
      <c r="F417" s="6">
        <v>0</v>
      </c>
      <c r="G417" s="6">
        <v>0</v>
      </c>
      <c r="H417" s="6">
        <v>89</v>
      </c>
      <c r="I417" s="6">
        <v>0</v>
      </c>
      <c r="J417" s="6">
        <v>0</v>
      </c>
      <c r="K417" s="7" t="str">
        <f t="shared" si="14"/>
        <v>CF</v>
      </c>
      <c r="L417" t="b">
        <f t="shared" si="13"/>
        <v>0</v>
      </c>
    </row>
    <row r="418" spans="1:12" x14ac:dyDescent="0.2">
      <c r="A418" t="s">
        <v>469</v>
      </c>
      <c r="B418" s="6">
        <v>50</v>
      </c>
      <c r="C418" s="6">
        <v>0</v>
      </c>
      <c r="D418" s="6">
        <v>0</v>
      </c>
      <c r="E418" s="6">
        <v>0</v>
      </c>
      <c r="F418" s="6">
        <v>0</v>
      </c>
      <c r="G418" s="6">
        <v>0</v>
      </c>
      <c r="H418" s="6">
        <v>0</v>
      </c>
      <c r="I418" s="6">
        <v>0</v>
      </c>
      <c r="J418" s="6">
        <v>16</v>
      </c>
      <c r="K418" s="7" t="str">
        <f t="shared" si="14"/>
        <v>C</v>
      </c>
      <c r="L418" t="b">
        <f t="shared" si="13"/>
        <v>0</v>
      </c>
    </row>
    <row r="419" spans="1:12" x14ac:dyDescent="0.2">
      <c r="A419" t="s">
        <v>312</v>
      </c>
      <c r="B419" s="6">
        <v>0</v>
      </c>
      <c r="C419" s="6">
        <v>0</v>
      </c>
      <c r="D419" s="6">
        <v>0</v>
      </c>
      <c r="E419" s="6">
        <v>0</v>
      </c>
      <c r="F419" s="6">
        <v>0</v>
      </c>
      <c r="G419" s="6">
        <v>4</v>
      </c>
      <c r="H419" s="6">
        <v>3</v>
      </c>
      <c r="I419" s="6">
        <v>72</v>
      </c>
      <c r="J419" s="6">
        <v>4</v>
      </c>
      <c r="K419" s="7" t="str">
        <f t="shared" si="14"/>
        <v>RF</v>
      </c>
      <c r="L419" t="b">
        <f t="shared" si="13"/>
        <v>0</v>
      </c>
    </row>
    <row r="420" spans="1:12" x14ac:dyDescent="0.2">
      <c r="A420" t="s">
        <v>641</v>
      </c>
      <c r="B420" s="6">
        <v>17</v>
      </c>
      <c r="C420" s="6">
        <v>0</v>
      </c>
      <c r="D420" s="6">
        <v>0</v>
      </c>
      <c r="E420" s="6">
        <v>0</v>
      </c>
      <c r="F420" s="6">
        <v>0</v>
      </c>
      <c r="G420" s="6">
        <v>0</v>
      </c>
      <c r="H420" s="6">
        <v>0</v>
      </c>
      <c r="I420" s="6">
        <v>0</v>
      </c>
      <c r="J420" s="6">
        <v>13</v>
      </c>
      <c r="K420" s="7" t="str">
        <f t="shared" si="14"/>
        <v>C</v>
      </c>
      <c r="L420" t="b">
        <f t="shared" si="13"/>
        <v>0</v>
      </c>
    </row>
    <row r="421" spans="1:12" x14ac:dyDescent="0.2">
      <c r="A421" t="s">
        <v>642</v>
      </c>
      <c r="B421" s="6">
        <v>0</v>
      </c>
      <c r="C421" s="6">
        <v>0</v>
      </c>
      <c r="D421" s="6">
        <v>0</v>
      </c>
      <c r="E421" s="6">
        <v>55</v>
      </c>
      <c r="F421" s="6">
        <v>0</v>
      </c>
      <c r="G421" s="6">
        <v>0</v>
      </c>
      <c r="H421" s="6">
        <v>0</v>
      </c>
      <c r="I421" s="6">
        <v>0</v>
      </c>
      <c r="J421" s="6">
        <v>17</v>
      </c>
      <c r="K421" s="7" t="str">
        <f t="shared" si="14"/>
        <v>3B</v>
      </c>
      <c r="L421" t="b">
        <f t="shared" si="13"/>
        <v>0</v>
      </c>
    </row>
    <row r="422" spans="1:12" x14ac:dyDescent="0.2">
      <c r="A422" t="s">
        <v>643</v>
      </c>
      <c r="B422" s="6">
        <v>0</v>
      </c>
      <c r="C422" s="6">
        <v>0</v>
      </c>
      <c r="D422" s="6">
        <v>10</v>
      </c>
      <c r="E422" s="6">
        <v>5</v>
      </c>
      <c r="F422" s="6">
        <v>0</v>
      </c>
      <c r="G422" s="6">
        <v>0</v>
      </c>
      <c r="H422" s="6">
        <v>0</v>
      </c>
      <c r="I422" s="6">
        <v>0</v>
      </c>
      <c r="J422" s="6">
        <v>5</v>
      </c>
      <c r="K422" s="7" t="str">
        <f t="shared" si="14"/>
        <v>2B</v>
      </c>
      <c r="L422" t="b">
        <f t="shared" si="13"/>
        <v>0</v>
      </c>
    </row>
    <row r="423" spans="1:12" x14ac:dyDescent="0.2">
      <c r="A423" t="s">
        <v>92</v>
      </c>
      <c r="B423" s="6">
        <v>0</v>
      </c>
      <c r="C423" s="6">
        <v>0</v>
      </c>
      <c r="D423" s="6">
        <v>0</v>
      </c>
      <c r="E423" s="6">
        <v>0</v>
      </c>
      <c r="F423" s="6">
        <v>0</v>
      </c>
      <c r="G423" s="6">
        <v>51</v>
      </c>
      <c r="H423" s="6">
        <v>0</v>
      </c>
      <c r="I423" s="6">
        <v>7</v>
      </c>
      <c r="J423" s="6">
        <v>1</v>
      </c>
      <c r="K423" s="7" t="str">
        <f t="shared" si="14"/>
        <v>LF</v>
      </c>
      <c r="L423" t="b">
        <f t="shared" si="13"/>
        <v>0</v>
      </c>
    </row>
    <row r="424" spans="1:12" x14ac:dyDescent="0.2">
      <c r="A424" t="s">
        <v>454</v>
      </c>
      <c r="B424" s="6">
        <v>0</v>
      </c>
      <c r="C424" s="6">
        <v>0</v>
      </c>
      <c r="D424" s="6">
        <v>0</v>
      </c>
      <c r="E424" s="6">
        <v>0</v>
      </c>
      <c r="F424" s="6">
        <v>0</v>
      </c>
      <c r="G424" s="6">
        <v>1</v>
      </c>
      <c r="H424" s="6">
        <v>0</v>
      </c>
      <c r="I424" s="6">
        <v>6</v>
      </c>
      <c r="J424" s="6">
        <v>1</v>
      </c>
      <c r="K424" s="7" t="str">
        <f t="shared" si="14"/>
        <v>RF</v>
      </c>
      <c r="L424" t="b">
        <f t="shared" si="13"/>
        <v>0</v>
      </c>
    </row>
    <row r="425" spans="1:12" x14ac:dyDescent="0.2">
      <c r="A425" t="s">
        <v>100</v>
      </c>
      <c r="B425" s="6">
        <v>68</v>
      </c>
      <c r="C425" s="6">
        <v>0</v>
      </c>
      <c r="D425" s="6">
        <v>0</v>
      </c>
      <c r="E425" s="6">
        <v>0</v>
      </c>
      <c r="F425" s="6">
        <v>0</v>
      </c>
      <c r="G425" s="6">
        <v>0</v>
      </c>
      <c r="H425" s="6">
        <v>0</v>
      </c>
      <c r="I425" s="6">
        <v>0</v>
      </c>
      <c r="J425" s="6">
        <v>0</v>
      </c>
      <c r="K425" s="7" t="str">
        <f t="shared" si="14"/>
        <v>C</v>
      </c>
      <c r="L425" t="b">
        <f t="shared" si="13"/>
        <v>0</v>
      </c>
    </row>
    <row r="426" spans="1:12" x14ac:dyDescent="0.2">
      <c r="A426" t="s">
        <v>182</v>
      </c>
      <c r="B426" s="6">
        <v>0</v>
      </c>
      <c r="C426" s="6">
        <v>0</v>
      </c>
      <c r="D426" s="6">
        <v>0</v>
      </c>
      <c r="E426" s="6">
        <v>0</v>
      </c>
      <c r="F426" s="6">
        <v>0</v>
      </c>
      <c r="G426" s="6">
        <v>4</v>
      </c>
      <c r="H426" s="6">
        <v>0</v>
      </c>
      <c r="I426" s="6">
        <v>16</v>
      </c>
      <c r="J426" s="6">
        <v>27</v>
      </c>
      <c r="K426" s="7" t="str">
        <f t="shared" si="14"/>
        <v>DH</v>
      </c>
      <c r="L426" t="b">
        <f t="shared" si="13"/>
        <v>0</v>
      </c>
    </row>
    <row r="427" spans="1:12" x14ac:dyDescent="0.2">
      <c r="A427" t="s">
        <v>507</v>
      </c>
      <c r="B427" s="6">
        <v>0</v>
      </c>
      <c r="C427" s="6">
        <v>3</v>
      </c>
      <c r="D427" s="6">
        <v>3</v>
      </c>
      <c r="E427" s="6">
        <v>52</v>
      </c>
      <c r="F427" s="6">
        <v>0</v>
      </c>
      <c r="G427" s="6">
        <v>0</v>
      </c>
      <c r="H427" s="6">
        <v>0</v>
      </c>
      <c r="I427" s="6">
        <v>0</v>
      </c>
      <c r="J427" s="6">
        <v>0</v>
      </c>
      <c r="K427" s="7" t="str">
        <f t="shared" si="14"/>
        <v>3B</v>
      </c>
      <c r="L427" t="b">
        <f t="shared" si="13"/>
        <v>0</v>
      </c>
    </row>
    <row r="428" spans="1:12" x14ac:dyDescent="0.2">
      <c r="A428" t="s">
        <v>644</v>
      </c>
      <c r="B428" s="6">
        <v>0</v>
      </c>
      <c r="C428" s="6">
        <v>4</v>
      </c>
      <c r="D428" s="6">
        <v>0</v>
      </c>
      <c r="E428" s="6">
        <v>1</v>
      </c>
      <c r="F428" s="6">
        <v>0</v>
      </c>
      <c r="G428" s="6">
        <v>7</v>
      </c>
      <c r="H428" s="6">
        <v>0</v>
      </c>
      <c r="I428" s="6">
        <v>1</v>
      </c>
      <c r="J428" s="6">
        <v>0</v>
      </c>
      <c r="K428" s="7" t="str">
        <f t="shared" si="14"/>
        <v>LF</v>
      </c>
      <c r="L428" t="b">
        <f t="shared" si="13"/>
        <v>0</v>
      </c>
    </row>
    <row r="429" spans="1:12" x14ac:dyDescent="0.2">
      <c r="A429" t="s">
        <v>463</v>
      </c>
      <c r="B429" s="6">
        <v>0</v>
      </c>
      <c r="C429" s="6">
        <v>0</v>
      </c>
      <c r="D429" s="6">
        <v>0</v>
      </c>
      <c r="E429" s="6">
        <v>0</v>
      </c>
      <c r="F429" s="6">
        <v>0</v>
      </c>
      <c r="G429" s="6">
        <v>71</v>
      </c>
      <c r="H429" s="6">
        <v>0</v>
      </c>
      <c r="I429" s="6">
        <v>29</v>
      </c>
      <c r="J429" s="6">
        <v>13</v>
      </c>
      <c r="K429" s="7" t="str">
        <f t="shared" si="14"/>
        <v>LF</v>
      </c>
      <c r="L429" t="b">
        <f t="shared" si="13"/>
        <v>0</v>
      </c>
    </row>
    <row r="430" spans="1:12" x14ac:dyDescent="0.2">
      <c r="A430" t="s">
        <v>278</v>
      </c>
      <c r="B430" s="6">
        <v>0</v>
      </c>
      <c r="C430" s="6">
        <v>50</v>
      </c>
      <c r="D430" s="6">
        <v>0</v>
      </c>
      <c r="E430" s="6">
        <v>0</v>
      </c>
      <c r="F430" s="6">
        <v>0</v>
      </c>
      <c r="G430" s="6">
        <v>0</v>
      </c>
      <c r="H430" s="6">
        <v>0</v>
      </c>
      <c r="I430" s="6">
        <v>0</v>
      </c>
      <c r="J430" s="6">
        <v>39</v>
      </c>
      <c r="K430" s="7" t="str">
        <f t="shared" si="14"/>
        <v>1B</v>
      </c>
      <c r="L430" t="b">
        <f t="shared" si="13"/>
        <v>0</v>
      </c>
    </row>
    <row r="431" spans="1:12" x14ac:dyDescent="0.2">
      <c r="A431" t="s">
        <v>72</v>
      </c>
      <c r="B431" s="6">
        <v>0</v>
      </c>
      <c r="C431" s="6">
        <v>0</v>
      </c>
      <c r="D431" s="6">
        <v>0</v>
      </c>
      <c r="E431" s="6">
        <v>93</v>
      </c>
      <c r="F431" s="6">
        <v>0</v>
      </c>
      <c r="G431" s="6">
        <v>0</v>
      </c>
      <c r="H431" s="6">
        <v>0</v>
      </c>
      <c r="I431" s="6">
        <v>0</v>
      </c>
      <c r="J431" s="6">
        <v>0</v>
      </c>
      <c r="K431" s="7" t="str">
        <f t="shared" si="14"/>
        <v>3B</v>
      </c>
      <c r="L431" t="b">
        <f t="shared" si="13"/>
        <v>0</v>
      </c>
    </row>
    <row r="432" spans="1:12" x14ac:dyDescent="0.2">
      <c r="A432" t="s">
        <v>645</v>
      </c>
      <c r="B432" s="6">
        <v>0</v>
      </c>
      <c r="C432" s="6">
        <v>0</v>
      </c>
      <c r="D432" s="6">
        <v>0</v>
      </c>
      <c r="E432" s="6">
        <v>0</v>
      </c>
      <c r="F432" s="6">
        <v>0</v>
      </c>
      <c r="G432" s="6">
        <v>0</v>
      </c>
      <c r="H432" s="6">
        <v>0</v>
      </c>
      <c r="I432" s="6">
        <v>20</v>
      </c>
      <c r="J432" s="6">
        <v>0</v>
      </c>
      <c r="K432" s="7" t="str">
        <f t="shared" si="14"/>
        <v>RF</v>
      </c>
      <c r="L432" t="b">
        <f t="shared" si="13"/>
        <v>0</v>
      </c>
    </row>
    <row r="433" spans="1:12" x14ac:dyDescent="0.2">
      <c r="A433" t="s">
        <v>646</v>
      </c>
      <c r="B433" s="6">
        <v>0</v>
      </c>
      <c r="C433" s="6">
        <v>0</v>
      </c>
      <c r="D433" s="6">
        <v>6</v>
      </c>
      <c r="E433" s="6">
        <v>0</v>
      </c>
      <c r="F433" s="6">
        <v>0</v>
      </c>
      <c r="G433" s="6">
        <v>0</v>
      </c>
      <c r="H433" s="6">
        <v>0</v>
      </c>
      <c r="I433" s="6">
        <v>0</v>
      </c>
      <c r="J433" s="6">
        <v>0</v>
      </c>
      <c r="K433" s="7" t="str">
        <f t="shared" si="14"/>
        <v>2B</v>
      </c>
      <c r="L433" t="b">
        <f t="shared" si="13"/>
        <v>0</v>
      </c>
    </row>
    <row r="434" spans="1:12" x14ac:dyDescent="0.2">
      <c r="A434" t="s">
        <v>508</v>
      </c>
      <c r="B434" s="6">
        <v>0</v>
      </c>
      <c r="C434" s="6">
        <v>0</v>
      </c>
      <c r="D434" s="6">
        <v>0</v>
      </c>
      <c r="E434" s="6">
        <v>26</v>
      </c>
      <c r="F434" s="6">
        <v>10</v>
      </c>
      <c r="G434" s="6">
        <v>0</v>
      </c>
      <c r="H434" s="6">
        <v>0</v>
      </c>
      <c r="I434" s="6">
        <v>0</v>
      </c>
      <c r="J434" s="6">
        <v>1</v>
      </c>
      <c r="K434" s="7" t="str">
        <f t="shared" si="14"/>
        <v>3B</v>
      </c>
      <c r="L434" t="b">
        <f t="shared" si="13"/>
        <v>0</v>
      </c>
    </row>
    <row r="435" spans="1:12" x14ac:dyDescent="0.2">
      <c r="A435" t="s">
        <v>647</v>
      </c>
      <c r="B435" s="6">
        <v>24</v>
      </c>
      <c r="C435" s="6">
        <v>0</v>
      </c>
      <c r="D435" s="6">
        <v>0</v>
      </c>
      <c r="E435" s="6">
        <v>0</v>
      </c>
      <c r="F435" s="6">
        <v>0</v>
      </c>
      <c r="G435" s="6">
        <v>0</v>
      </c>
      <c r="H435" s="6">
        <v>0</v>
      </c>
      <c r="I435" s="6">
        <v>0</v>
      </c>
      <c r="J435" s="6">
        <v>0</v>
      </c>
      <c r="K435" s="7" t="str">
        <f t="shared" si="14"/>
        <v>C</v>
      </c>
      <c r="L435" t="b">
        <f t="shared" si="13"/>
        <v>0</v>
      </c>
    </row>
    <row r="436" spans="1:12" x14ac:dyDescent="0.2">
      <c r="A436" t="s">
        <v>648</v>
      </c>
      <c r="B436" s="6">
        <v>0</v>
      </c>
      <c r="C436" s="6">
        <v>0</v>
      </c>
      <c r="D436" s="6">
        <v>0</v>
      </c>
      <c r="E436" s="6">
        <v>0</v>
      </c>
      <c r="F436" s="6">
        <v>0</v>
      </c>
      <c r="G436" s="6">
        <v>0</v>
      </c>
      <c r="H436" s="6">
        <v>24</v>
      </c>
      <c r="I436" s="6">
        <v>0</v>
      </c>
      <c r="J436" s="6">
        <v>0</v>
      </c>
      <c r="K436" s="7" t="str">
        <f t="shared" si="14"/>
        <v>CF</v>
      </c>
      <c r="L436" t="b">
        <f t="shared" si="13"/>
        <v>0</v>
      </c>
    </row>
    <row r="437" spans="1:12" x14ac:dyDescent="0.2">
      <c r="A437" t="s">
        <v>649</v>
      </c>
      <c r="B437" s="6">
        <v>7</v>
      </c>
      <c r="C437" s="6">
        <v>0</v>
      </c>
      <c r="D437" s="6">
        <v>0</v>
      </c>
      <c r="E437" s="6">
        <v>0</v>
      </c>
      <c r="F437" s="6">
        <v>0</v>
      </c>
      <c r="G437" s="6">
        <v>0</v>
      </c>
      <c r="H437" s="6">
        <v>0</v>
      </c>
      <c r="I437" s="6">
        <v>0</v>
      </c>
      <c r="J437" s="6">
        <v>1</v>
      </c>
      <c r="K437" s="7" t="str">
        <f t="shared" si="14"/>
        <v>C</v>
      </c>
      <c r="L437" t="b">
        <f t="shared" si="13"/>
        <v>0</v>
      </c>
    </row>
    <row r="438" spans="1:12" x14ac:dyDescent="0.2">
      <c r="A438" t="s">
        <v>650</v>
      </c>
      <c r="B438" s="6">
        <v>0</v>
      </c>
      <c r="C438" s="6">
        <v>0</v>
      </c>
      <c r="D438" s="6">
        <v>0</v>
      </c>
      <c r="E438" s="6">
        <v>0</v>
      </c>
      <c r="F438" s="6">
        <v>0</v>
      </c>
      <c r="G438" s="6">
        <v>6</v>
      </c>
      <c r="H438" s="6">
        <v>15</v>
      </c>
      <c r="I438" s="6">
        <v>20</v>
      </c>
      <c r="J438" s="6">
        <v>1</v>
      </c>
      <c r="K438" s="7" t="str">
        <f t="shared" si="14"/>
        <v>RF</v>
      </c>
      <c r="L438" t="b">
        <f t="shared" si="13"/>
        <v>0</v>
      </c>
    </row>
    <row r="439" spans="1:12" x14ac:dyDescent="0.2">
      <c r="A439" t="s">
        <v>471</v>
      </c>
      <c r="B439" s="6">
        <v>0</v>
      </c>
      <c r="C439" s="6">
        <v>0</v>
      </c>
      <c r="D439" s="6">
        <v>10</v>
      </c>
      <c r="E439" s="6">
        <v>0</v>
      </c>
      <c r="F439" s="6">
        <v>84</v>
      </c>
      <c r="G439" s="6">
        <v>0</v>
      </c>
      <c r="H439" s="6">
        <v>0</v>
      </c>
      <c r="I439" s="6">
        <v>0</v>
      </c>
      <c r="J439" s="6">
        <v>0</v>
      </c>
      <c r="K439" s="7" t="str">
        <f t="shared" si="14"/>
        <v>SS</v>
      </c>
      <c r="L439" t="b">
        <f t="shared" si="13"/>
        <v>0</v>
      </c>
    </row>
    <row r="440" spans="1:12" x14ac:dyDescent="0.2">
      <c r="A440" t="s">
        <v>651</v>
      </c>
      <c r="B440" s="6">
        <v>0</v>
      </c>
      <c r="C440" s="6">
        <v>0</v>
      </c>
      <c r="D440" s="6">
        <v>0</v>
      </c>
      <c r="E440" s="6">
        <v>0</v>
      </c>
      <c r="F440" s="6">
        <v>0</v>
      </c>
      <c r="G440" s="6">
        <v>0</v>
      </c>
      <c r="H440" s="6">
        <v>0</v>
      </c>
      <c r="I440" s="6">
        <v>5</v>
      </c>
      <c r="J440" s="6">
        <v>0</v>
      </c>
      <c r="K440" s="7" t="str">
        <f t="shared" si="14"/>
        <v>RF</v>
      </c>
      <c r="L440" t="b">
        <f t="shared" si="13"/>
        <v>0</v>
      </c>
    </row>
    <row r="441" spans="1:12" x14ac:dyDescent="0.2">
      <c r="A441" t="s">
        <v>652</v>
      </c>
      <c r="B441" s="6">
        <v>32</v>
      </c>
      <c r="C441" s="6">
        <v>2</v>
      </c>
      <c r="D441" s="6">
        <v>0</v>
      </c>
      <c r="E441" s="6">
        <v>0</v>
      </c>
      <c r="F441" s="6">
        <v>0</v>
      </c>
      <c r="G441" s="6">
        <v>0</v>
      </c>
      <c r="H441" s="6">
        <v>0</v>
      </c>
      <c r="I441" s="6">
        <v>0</v>
      </c>
      <c r="J441" s="6">
        <v>0</v>
      </c>
      <c r="K441" s="7" t="str">
        <f t="shared" si="14"/>
        <v>C</v>
      </c>
      <c r="L441" t="b">
        <f t="shared" si="13"/>
        <v>0</v>
      </c>
    </row>
    <row r="442" spans="1:12" x14ac:dyDescent="0.2">
      <c r="A442" t="s">
        <v>653</v>
      </c>
      <c r="B442" s="6">
        <v>10</v>
      </c>
      <c r="C442" s="6">
        <v>0</v>
      </c>
      <c r="D442" s="6">
        <v>1</v>
      </c>
      <c r="E442" s="6">
        <v>0</v>
      </c>
      <c r="F442" s="6">
        <v>0</v>
      </c>
      <c r="G442" s="6">
        <v>3</v>
      </c>
      <c r="H442" s="6">
        <v>0</v>
      </c>
      <c r="I442" s="6">
        <v>2</v>
      </c>
      <c r="J442" s="6">
        <v>0</v>
      </c>
      <c r="K442" s="7" t="str">
        <f t="shared" si="14"/>
        <v>C</v>
      </c>
      <c r="L442" t="b">
        <f t="shared" si="13"/>
        <v>0</v>
      </c>
    </row>
    <row r="443" spans="1:12" x14ac:dyDescent="0.2">
      <c r="A443" t="s">
        <v>654</v>
      </c>
      <c r="B443" s="6">
        <v>0</v>
      </c>
      <c r="C443" s="6">
        <v>0</v>
      </c>
      <c r="D443" s="6">
        <v>0</v>
      </c>
      <c r="E443" s="6">
        <v>0</v>
      </c>
      <c r="F443" s="6">
        <v>0</v>
      </c>
      <c r="G443" s="6">
        <v>0</v>
      </c>
      <c r="H443" s="6">
        <v>0</v>
      </c>
      <c r="I443" s="6">
        <v>3</v>
      </c>
      <c r="J443" s="6">
        <v>1</v>
      </c>
      <c r="K443" s="7" t="str">
        <f t="shared" si="14"/>
        <v>RF</v>
      </c>
      <c r="L443" t="b">
        <f t="shared" si="13"/>
        <v>0</v>
      </c>
    </row>
    <row r="444" spans="1:12" x14ac:dyDescent="0.2">
      <c r="A444" t="s">
        <v>655</v>
      </c>
      <c r="B444" s="6">
        <v>0</v>
      </c>
      <c r="C444" s="6">
        <v>0</v>
      </c>
      <c r="D444" s="6">
        <v>0</v>
      </c>
      <c r="E444" s="6">
        <v>0</v>
      </c>
      <c r="F444" s="6">
        <v>0</v>
      </c>
      <c r="G444" s="6">
        <v>0</v>
      </c>
      <c r="H444" s="6">
        <v>85</v>
      </c>
      <c r="I444" s="6">
        <v>0</v>
      </c>
      <c r="J444" s="6">
        <v>2</v>
      </c>
      <c r="K444" s="7" t="str">
        <f t="shared" si="14"/>
        <v>CF</v>
      </c>
      <c r="L444" t="b">
        <f t="shared" si="13"/>
        <v>0</v>
      </c>
    </row>
    <row r="445" spans="1:12" x14ac:dyDescent="0.2">
      <c r="A445" t="s">
        <v>184</v>
      </c>
      <c r="B445" s="6">
        <v>29</v>
      </c>
      <c r="C445" s="6">
        <v>0</v>
      </c>
      <c r="D445" s="6">
        <v>0</v>
      </c>
      <c r="E445" s="6">
        <v>0</v>
      </c>
      <c r="F445" s="6">
        <v>0</v>
      </c>
      <c r="G445" s="6">
        <v>0</v>
      </c>
      <c r="H445" s="6">
        <v>0</v>
      </c>
      <c r="I445" s="6">
        <v>0</v>
      </c>
      <c r="J445" s="6">
        <v>0</v>
      </c>
      <c r="K445" s="7" t="str">
        <f t="shared" si="14"/>
        <v>C</v>
      </c>
      <c r="L445" t="b">
        <f t="shared" si="13"/>
        <v>0</v>
      </c>
    </row>
    <row r="446" spans="1:12" x14ac:dyDescent="0.2">
      <c r="A446" t="s">
        <v>449</v>
      </c>
      <c r="B446" s="6">
        <v>0</v>
      </c>
      <c r="C446" s="6">
        <v>0</v>
      </c>
      <c r="D446" s="6">
        <v>3</v>
      </c>
      <c r="E446" s="6">
        <v>8</v>
      </c>
      <c r="F446" s="6">
        <v>2</v>
      </c>
      <c r="G446" s="6">
        <v>0</v>
      </c>
      <c r="H446" s="6">
        <v>0</v>
      </c>
      <c r="I446" s="6">
        <v>0</v>
      </c>
      <c r="J446" s="6">
        <v>0</v>
      </c>
      <c r="K446" s="7" t="str">
        <f t="shared" si="14"/>
        <v>3B</v>
      </c>
      <c r="L446" t="b">
        <f t="shared" si="13"/>
        <v>0</v>
      </c>
    </row>
    <row r="447" spans="1:12" x14ac:dyDescent="0.2">
      <c r="A447" t="s">
        <v>176</v>
      </c>
      <c r="B447" s="6">
        <v>0</v>
      </c>
      <c r="C447" s="6">
        <v>3</v>
      </c>
      <c r="D447" s="6">
        <v>28</v>
      </c>
      <c r="E447" s="6">
        <v>5</v>
      </c>
      <c r="F447" s="6">
        <v>22</v>
      </c>
      <c r="G447" s="6">
        <v>0</v>
      </c>
      <c r="H447" s="6">
        <v>0</v>
      </c>
      <c r="I447" s="6">
        <v>0</v>
      </c>
      <c r="J447" s="6">
        <v>3</v>
      </c>
      <c r="K447" s="7" t="str">
        <f t="shared" si="14"/>
        <v>2B</v>
      </c>
      <c r="L447" t="b">
        <f t="shared" si="13"/>
        <v>0</v>
      </c>
    </row>
    <row r="448" spans="1:12" x14ac:dyDescent="0.2">
      <c r="A448" t="s">
        <v>485</v>
      </c>
      <c r="B448" s="6">
        <v>35</v>
      </c>
      <c r="C448" s="6">
        <v>1</v>
      </c>
      <c r="D448" s="6">
        <v>0</v>
      </c>
      <c r="E448" s="6">
        <v>0</v>
      </c>
      <c r="F448" s="6">
        <v>0</v>
      </c>
      <c r="G448" s="6">
        <v>0</v>
      </c>
      <c r="H448" s="6">
        <v>0</v>
      </c>
      <c r="I448" s="6">
        <v>0</v>
      </c>
      <c r="J448" s="6">
        <v>0</v>
      </c>
      <c r="K448" s="7" t="str">
        <f t="shared" si="14"/>
        <v>C</v>
      </c>
      <c r="L448" t="b">
        <f t="shared" si="13"/>
        <v>0</v>
      </c>
    </row>
    <row r="449" spans="1:12" x14ac:dyDescent="0.2">
      <c r="A449" t="s">
        <v>68</v>
      </c>
      <c r="B449" s="6">
        <v>0</v>
      </c>
      <c r="C449" s="6">
        <v>0</v>
      </c>
      <c r="D449" s="6">
        <v>0</v>
      </c>
      <c r="E449" s="6">
        <v>0</v>
      </c>
      <c r="F449" s="6">
        <v>0</v>
      </c>
      <c r="G449" s="6">
        <v>1</v>
      </c>
      <c r="H449" s="6">
        <v>0</v>
      </c>
      <c r="I449" s="6">
        <v>4</v>
      </c>
      <c r="J449" s="6">
        <v>42</v>
      </c>
      <c r="K449" s="7" t="str">
        <f t="shared" si="14"/>
        <v>DH</v>
      </c>
      <c r="L449" t="b">
        <f t="shared" si="13"/>
        <v>0</v>
      </c>
    </row>
    <row r="450" spans="1:12" x14ac:dyDescent="0.2">
      <c r="A450" t="s">
        <v>83</v>
      </c>
      <c r="B450" s="6">
        <v>0</v>
      </c>
      <c r="C450" s="6">
        <v>0</v>
      </c>
      <c r="D450" s="6">
        <v>5</v>
      </c>
      <c r="E450" s="6">
        <v>39</v>
      </c>
      <c r="F450" s="6">
        <v>0</v>
      </c>
      <c r="G450" s="6">
        <v>3</v>
      </c>
      <c r="H450" s="6">
        <v>0</v>
      </c>
      <c r="I450" s="6">
        <v>3</v>
      </c>
      <c r="J450" s="6">
        <v>4</v>
      </c>
      <c r="K450" s="7" t="str">
        <f t="shared" si="14"/>
        <v>3B</v>
      </c>
      <c r="L450" t="b">
        <f t="shared" si="13"/>
        <v>0</v>
      </c>
    </row>
    <row r="451" spans="1:12" x14ac:dyDescent="0.2">
      <c r="A451" t="s">
        <v>157</v>
      </c>
      <c r="B451" s="6">
        <v>0</v>
      </c>
      <c r="C451" s="6">
        <v>0</v>
      </c>
      <c r="D451" s="6">
        <v>0</v>
      </c>
      <c r="E451" s="6">
        <v>0</v>
      </c>
      <c r="F451" s="6">
        <v>0</v>
      </c>
      <c r="G451" s="6">
        <v>22</v>
      </c>
      <c r="H451" s="6">
        <v>10</v>
      </c>
      <c r="I451" s="6">
        <v>29</v>
      </c>
      <c r="J451" s="6">
        <v>0</v>
      </c>
      <c r="K451" s="7" t="str">
        <f t="shared" si="14"/>
        <v>RF</v>
      </c>
      <c r="L451" t="b">
        <f t="shared" ref="L451:L501" si="15">COUNTIF(B451:J451, MAX(B451:J451)) &gt; 1</f>
        <v>0</v>
      </c>
    </row>
    <row r="452" spans="1:12" x14ac:dyDescent="0.2">
      <c r="A452" t="s">
        <v>476</v>
      </c>
      <c r="B452" s="6">
        <v>62</v>
      </c>
      <c r="C452" s="6">
        <v>0</v>
      </c>
      <c r="D452" s="6">
        <v>0</v>
      </c>
      <c r="E452" s="6">
        <v>0</v>
      </c>
      <c r="F452" s="6">
        <v>0</v>
      </c>
      <c r="G452" s="6">
        <v>0</v>
      </c>
      <c r="H452" s="6">
        <v>0</v>
      </c>
      <c r="I452" s="6">
        <v>0</v>
      </c>
      <c r="J452" s="6">
        <v>0</v>
      </c>
      <c r="K452" s="7" t="str">
        <f t="shared" si="14"/>
        <v>C</v>
      </c>
      <c r="L452" t="b">
        <f t="shared" si="15"/>
        <v>0</v>
      </c>
    </row>
    <row r="453" spans="1:12" x14ac:dyDescent="0.2">
      <c r="A453" t="s">
        <v>656</v>
      </c>
      <c r="B453" s="6">
        <v>0</v>
      </c>
      <c r="C453" s="6">
        <v>81</v>
      </c>
      <c r="D453" s="6">
        <v>0</v>
      </c>
      <c r="E453" s="6">
        <v>0</v>
      </c>
      <c r="F453" s="6">
        <v>0</v>
      </c>
      <c r="G453" s="6">
        <v>0</v>
      </c>
      <c r="H453" s="6">
        <v>0</v>
      </c>
      <c r="I453" s="6">
        <v>0</v>
      </c>
      <c r="J453" s="6">
        <v>11</v>
      </c>
      <c r="K453" s="7" t="str">
        <f t="shared" si="14"/>
        <v>1B</v>
      </c>
      <c r="L453" t="b">
        <f t="shared" si="15"/>
        <v>0</v>
      </c>
    </row>
    <row r="454" spans="1:12" x14ac:dyDescent="0.2">
      <c r="A454" t="s">
        <v>341</v>
      </c>
      <c r="B454" s="6">
        <v>46</v>
      </c>
      <c r="C454" s="6">
        <v>8</v>
      </c>
      <c r="D454" s="6">
        <v>0</v>
      </c>
      <c r="E454" s="6">
        <v>0</v>
      </c>
      <c r="F454" s="6">
        <v>0</v>
      </c>
      <c r="G454" s="6">
        <v>0</v>
      </c>
      <c r="H454" s="6">
        <v>0</v>
      </c>
      <c r="I454" s="6">
        <v>0</v>
      </c>
      <c r="J454" s="6">
        <v>4</v>
      </c>
      <c r="K454" s="7" t="str">
        <f t="shared" si="14"/>
        <v>C</v>
      </c>
      <c r="L454" t="b">
        <f t="shared" si="15"/>
        <v>0</v>
      </c>
    </row>
    <row r="455" spans="1:12" x14ac:dyDescent="0.2">
      <c r="A455" t="s">
        <v>472</v>
      </c>
      <c r="B455" s="6">
        <v>50</v>
      </c>
      <c r="C455" s="6">
        <v>0</v>
      </c>
      <c r="D455" s="6">
        <v>0</v>
      </c>
      <c r="E455" s="6">
        <v>0</v>
      </c>
      <c r="F455" s="6">
        <v>0</v>
      </c>
      <c r="G455" s="6">
        <v>0</v>
      </c>
      <c r="H455" s="6">
        <v>0</v>
      </c>
      <c r="I455" s="6">
        <v>0</v>
      </c>
      <c r="J455" s="6">
        <v>15</v>
      </c>
      <c r="K455" s="7" t="str">
        <f t="shared" si="14"/>
        <v>C</v>
      </c>
      <c r="L455" t="b">
        <f t="shared" si="15"/>
        <v>0</v>
      </c>
    </row>
    <row r="456" spans="1:12" x14ac:dyDescent="0.2">
      <c r="A456" t="s">
        <v>234</v>
      </c>
      <c r="B456" s="6">
        <v>0</v>
      </c>
      <c r="C456" s="6">
        <v>0</v>
      </c>
      <c r="D456" s="6">
        <v>3</v>
      </c>
      <c r="E456" s="6">
        <v>5</v>
      </c>
      <c r="F456" s="6">
        <v>8</v>
      </c>
      <c r="G456" s="6">
        <v>15</v>
      </c>
      <c r="H456" s="6">
        <v>0</v>
      </c>
      <c r="I456" s="6">
        <v>0</v>
      </c>
      <c r="J456" s="6">
        <v>2</v>
      </c>
      <c r="K456" s="7" t="str">
        <f t="shared" si="14"/>
        <v>LF</v>
      </c>
      <c r="L456" t="b">
        <f t="shared" si="15"/>
        <v>0</v>
      </c>
    </row>
    <row r="457" spans="1:12" x14ac:dyDescent="0.2">
      <c r="A457" t="s">
        <v>657</v>
      </c>
      <c r="B457" s="6">
        <v>9</v>
      </c>
      <c r="C457" s="6">
        <v>0</v>
      </c>
      <c r="D457" s="6">
        <v>0</v>
      </c>
      <c r="E457" s="6">
        <v>0</v>
      </c>
      <c r="F457" s="6">
        <v>0</v>
      </c>
      <c r="G457" s="6">
        <v>0</v>
      </c>
      <c r="H457" s="6">
        <v>0</v>
      </c>
      <c r="I457" s="6">
        <v>0</v>
      </c>
      <c r="J457" s="6">
        <v>0</v>
      </c>
      <c r="K457" s="7" t="str">
        <f t="shared" si="14"/>
        <v>C</v>
      </c>
      <c r="L457" t="b">
        <f t="shared" si="15"/>
        <v>0</v>
      </c>
    </row>
    <row r="458" spans="1:12" x14ac:dyDescent="0.2">
      <c r="A458" t="s">
        <v>658</v>
      </c>
      <c r="B458" s="6">
        <v>18</v>
      </c>
      <c r="C458" s="6">
        <v>0</v>
      </c>
      <c r="D458" s="6">
        <v>0</v>
      </c>
      <c r="E458" s="6">
        <v>0</v>
      </c>
      <c r="F458" s="6">
        <v>0</v>
      </c>
      <c r="G458" s="6">
        <v>0</v>
      </c>
      <c r="H458" s="6">
        <v>0</v>
      </c>
      <c r="I458" s="6">
        <v>0</v>
      </c>
      <c r="J458" s="6">
        <v>0</v>
      </c>
      <c r="K458" s="7" t="str">
        <f t="shared" ref="K458:K501" si="16">INDEX($B$1:$J$1, MATCH(MAX(B458:J458), B458:J458, 0))</f>
        <v>C</v>
      </c>
      <c r="L458" t="b">
        <f t="shared" si="15"/>
        <v>0</v>
      </c>
    </row>
    <row r="459" spans="1:12" x14ac:dyDescent="0.2">
      <c r="A459" t="s">
        <v>659</v>
      </c>
      <c r="B459" s="6">
        <v>25</v>
      </c>
      <c r="C459" s="6">
        <v>6</v>
      </c>
      <c r="D459" s="6">
        <v>0</v>
      </c>
      <c r="E459" s="6">
        <v>0</v>
      </c>
      <c r="F459" s="6">
        <v>0</v>
      </c>
      <c r="G459" s="6">
        <v>0</v>
      </c>
      <c r="H459" s="6">
        <v>0</v>
      </c>
      <c r="I459" s="6">
        <v>0</v>
      </c>
      <c r="J459" s="6">
        <v>16</v>
      </c>
      <c r="K459" s="7" t="str">
        <f t="shared" si="16"/>
        <v>C</v>
      </c>
      <c r="L459" t="b">
        <f t="shared" si="15"/>
        <v>0</v>
      </c>
    </row>
    <row r="460" spans="1:12" x14ac:dyDescent="0.2">
      <c r="A460" t="s">
        <v>660</v>
      </c>
      <c r="B460" s="6">
        <v>0</v>
      </c>
      <c r="C460" s="6">
        <v>0</v>
      </c>
      <c r="D460" s="6">
        <v>0</v>
      </c>
      <c r="E460" s="6">
        <v>0</v>
      </c>
      <c r="F460" s="6">
        <v>0</v>
      </c>
      <c r="G460" s="6">
        <v>26</v>
      </c>
      <c r="H460" s="6">
        <v>0</v>
      </c>
      <c r="I460" s="6">
        <v>42</v>
      </c>
      <c r="J460" s="6">
        <v>7</v>
      </c>
      <c r="K460" s="7" t="str">
        <f t="shared" si="16"/>
        <v>RF</v>
      </c>
      <c r="L460" t="b">
        <f t="shared" si="15"/>
        <v>0</v>
      </c>
    </row>
    <row r="461" spans="1:12" x14ac:dyDescent="0.2">
      <c r="A461" t="s">
        <v>168</v>
      </c>
      <c r="B461" s="6">
        <v>0</v>
      </c>
      <c r="C461" s="6">
        <v>0</v>
      </c>
      <c r="D461" s="6">
        <v>6</v>
      </c>
      <c r="E461" s="6">
        <v>67</v>
      </c>
      <c r="F461" s="6">
        <v>6</v>
      </c>
      <c r="G461" s="6">
        <v>10</v>
      </c>
      <c r="H461" s="6">
        <v>1</v>
      </c>
      <c r="I461" s="6">
        <v>4</v>
      </c>
      <c r="J461" s="6">
        <v>0</v>
      </c>
      <c r="K461" s="7" t="str">
        <f t="shared" si="16"/>
        <v>3B</v>
      </c>
      <c r="L461" t="b">
        <f t="shared" si="15"/>
        <v>0</v>
      </c>
    </row>
    <row r="462" spans="1:12" x14ac:dyDescent="0.2">
      <c r="A462" t="s">
        <v>661</v>
      </c>
      <c r="B462" s="6">
        <v>0</v>
      </c>
      <c r="C462" s="6">
        <v>8</v>
      </c>
      <c r="D462" s="6">
        <v>0</v>
      </c>
      <c r="E462" s="6">
        <v>0</v>
      </c>
      <c r="F462" s="6">
        <v>0</v>
      </c>
      <c r="G462" s="6">
        <v>0</v>
      </c>
      <c r="H462" s="6">
        <v>0</v>
      </c>
      <c r="I462" s="6">
        <v>0</v>
      </c>
      <c r="J462" s="6">
        <v>0</v>
      </c>
      <c r="K462" s="7" t="str">
        <f t="shared" si="16"/>
        <v>1B</v>
      </c>
      <c r="L462" t="b">
        <f t="shared" si="15"/>
        <v>0</v>
      </c>
    </row>
    <row r="463" spans="1:12" x14ac:dyDescent="0.2">
      <c r="A463" t="s">
        <v>366</v>
      </c>
      <c r="B463" s="6">
        <v>0</v>
      </c>
      <c r="C463" s="6">
        <v>75</v>
      </c>
      <c r="D463" s="6">
        <v>0</v>
      </c>
      <c r="E463" s="6">
        <v>0</v>
      </c>
      <c r="F463" s="6">
        <v>0</v>
      </c>
      <c r="G463" s="6">
        <v>0</v>
      </c>
      <c r="H463" s="6">
        <v>0</v>
      </c>
      <c r="I463" s="6">
        <v>0</v>
      </c>
      <c r="J463" s="6">
        <v>1</v>
      </c>
      <c r="K463" s="7" t="str">
        <f t="shared" si="16"/>
        <v>1B</v>
      </c>
      <c r="L463" t="b">
        <f t="shared" si="15"/>
        <v>0</v>
      </c>
    </row>
    <row r="464" spans="1:12" x14ac:dyDescent="0.2">
      <c r="A464" t="s">
        <v>26</v>
      </c>
      <c r="B464" s="6">
        <v>0</v>
      </c>
      <c r="C464" s="6">
        <v>15</v>
      </c>
      <c r="D464" s="6">
        <v>7</v>
      </c>
      <c r="E464" s="6">
        <v>14</v>
      </c>
      <c r="F464" s="6">
        <v>7</v>
      </c>
      <c r="G464" s="6">
        <v>29</v>
      </c>
      <c r="H464" s="6">
        <v>0</v>
      </c>
      <c r="I464" s="6">
        <v>0</v>
      </c>
      <c r="J464" s="6">
        <v>23</v>
      </c>
      <c r="K464" s="7" t="str">
        <f t="shared" si="16"/>
        <v>LF</v>
      </c>
      <c r="L464" t="b">
        <f t="shared" si="15"/>
        <v>0</v>
      </c>
    </row>
    <row r="465" spans="1:12" x14ac:dyDescent="0.2">
      <c r="A465" t="s">
        <v>372</v>
      </c>
      <c r="B465" s="6">
        <v>0</v>
      </c>
      <c r="C465" s="6">
        <v>0</v>
      </c>
      <c r="D465" s="6">
        <v>12</v>
      </c>
      <c r="E465" s="6">
        <v>30</v>
      </c>
      <c r="F465" s="6">
        <v>6</v>
      </c>
      <c r="G465" s="6">
        <v>1</v>
      </c>
      <c r="H465" s="6">
        <v>33</v>
      </c>
      <c r="I465" s="6">
        <v>1</v>
      </c>
      <c r="J465" s="6">
        <v>0</v>
      </c>
      <c r="K465" s="7" t="str">
        <f t="shared" si="16"/>
        <v>CF</v>
      </c>
      <c r="L465" t="b">
        <f t="shared" si="15"/>
        <v>0</v>
      </c>
    </row>
    <row r="466" spans="1:12" x14ac:dyDescent="0.2">
      <c r="A466" t="s">
        <v>183</v>
      </c>
      <c r="B466" s="6">
        <v>0</v>
      </c>
      <c r="C466" s="6">
        <v>0</v>
      </c>
      <c r="D466" s="6">
        <v>10</v>
      </c>
      <c r="E466" s="6">
        <v>0</v>
      </c>
      <c r="F466" s="6">
        <v>0</v>
      </c>
      <c r="G466" s="6">
        <v>37</v>
      </c>
      <c r="H466" s="6">
        <v>0</v>
      </c>
      <c r="I466" s="6">
        <v>0</v>
      </c>
      <c r="J466" s="6">
        <v>1</v>
      </c>
      <c r="K466" s="7" t="str">
        <f t="shared" si="16"/>
        <v>LF</v>
      </c>
      <c r="L466" t="b">
        <f t="shared" si="15"/>
        <v>0</v>
      </c>
    </row>
    <row r="467" spans="1:12" x14ac:dyDescent="0.2">
      <c r="A467" t="s">
        <v>209</v>
      </c>
      <c r="B467" s="6">
        <v>0</v>
      </c>
      <c r="C467" s="6">
        <v>0</v>
      </c>
      <c r="D467" s="6">
        <v>1</v>
      </c>
      <c r="E467" s="6">
        <v>1</v>
      </c>
      <c r="F467" s="6">
        <v>3</v>
      </c>
      <c r="G467" s="6">
        <v>10</v>
      </c>
      <c r="H467" s="6">
        <v>5</v>
      </c>
      <c r="I467" s="6">
        <v>10</v>
      </c>
      <c r="J467" s="6">
        <v>1</v>
      </c>
      <c r="K467" s="7" t="str">
        <f t="shared" si="16"/>
        <v>LF</v>
      </c>
      <c r="L467" t="b">
        <f t="shared" si="15"/>
        <v>1</v>
      </c>
    </row>
    <row r="468" spans="1:12" x14ac:dyDescent="0.2">
      <c r="A468" t="s">
        <v>276</v>
      </c>
      <c r="B468" s="6">
        <v>0</v>
      </c>
      <c r="C468" s="6">
        <v>2</v>
      </c>
      <c r="D468" s="6">
        <v>0</v>
      </c>
      <c r="E468" s="6">
        <v>0</v>
      </c>
      <c r="F468" s="6">
        <v>0</v>
      </c>
      <c r="G468" s="6">
        <v>2</v>
      </c>
      <c r="H468" s="6">
        <v>0</v>
      </c>
      <c r="I468" s="6">
        <v>0</v>
      </c>
      <c r="J468" s="6">
        <v>89</v>
      </c>
      <c r="K468" s="7" t="str">
        <f t="shared" si="16"/>
        <v>DH</v>
      </c>
      <c r="L468" t="b">
        <f t="shared" si="15"/>
        <v>0</v>
      </c>
    </row>
    <row r="469" spans="1:12" x14ac:dyDescent="0.2">
      <c r="A469" t="s">
        <v>662</v>
      </c>
      <c r="B469" s="6">
        <v>0</v>
      </c>
      <c r="C469" s="6">
        <v>0</v>
      </c>
      <c r="D469" s="6">
        <v>0</v>
      </c>
      <c r="E469" s="6">
        <v>0</v>
      </c>
      <c r="F469" s="6">
        <v>0</v>
      </c>
      <c r="G469" s="6">
        <v>0</v>
      </c>
      <c r="H469" s="6">
        <v>60</v>
      </c>
      <c r="I469" s="6">
        <v>0</v>
      </c>
      <c r="J469" s="6">
        <v>1</v>
      </c>
      <c r="K469" s="7" t="str">
        <f t="shared" si="16"/>
        <v>CF</v>
      </c>
      <c r="L469" t="b">
        <f t="shared" si="15"/>
        <v>0</v>
      </c>
    </row>
    <row r="470" spans="1:12" x14ac:dyDescent="0.2">
      <c r="A470" t="s">
        <v>340</v>
      </c>
      <c r="B470" s="6">
        <v>0</v>
      </c>
      <c r="C470" s="6">
        <v>0</v>
      </c>
      <c r="D470" s="6">
        <v>0</v>
      </c>
      <c r="E470" s="6">
        <v>0</v>
      </c>
      <c r="F470" s="6">
        <v>51</v>
      </c>
      <c r="G470" s="6">
        <v>0</v>
      </c>
      <c r="H470" s="6">
        <v>0</v>
      </c>
      <c r="I470" s="6">
        <v>0</v>
      </c>
      <c r="J470" s="6">
        <v>0</v>
      </c>
      <c r="K470" s="7" t="str">
        <f t="shared" si="16"/>
        <v>SS</v>
      </c>
      <c r="L470" t="b">
        <f t="shared" si="15"/>
        <v>0</v>
      </c>
    </row>
    <row r="471" spans="1:12" x14ac:dyDescent="0.2">
      <c r="A471" t="s">
        <v>497</v>
      </c>
      <c r="B471" s="6">
        <v>0</v>
      </c>
      <c r="C471" s="6">
        <v>0</v>
      </c>
      <c r="D471" s="6">
        <v>22</v>
      </c>
      <c r="E471" s="6">
        <v>1</v>
      </c>
      <c r="F471" s="6">
        <v>0</v>
      </c>
      <c r="G471" s="6">
        <v>0</v>
      </c>
      <c r="H471" s="6">
        <v>0</v>
      </c>
      <c r="I471" s="6">
        <v>0</v>
      </c>
      <c r="J471" s="6">
        <v>0</v>
      </c>
      <c r="K471" s="7" t="str">
        <f t="shared" si="16"/>
        <v>2B</v>
      </c>
      <c r="L471" t="b">
        <f t="shared" si="15"/>
        <v>0</v>
      </c>
    </row>
    <row r="472" spans="1:12" x14ac:dyDescent="0.2">
      <c r="A472" t="s">
        <v>77</v>
      </c>
      <c r="B472" s="6">
        <v>0</v>
      </c>
      <c r="C472" s="6">
        <v>0</v>
      </c>
      <c r="D472" s="6">
        <v>80</v>
      </c>
      <c r="E472" s="6">
        <v>0</v>
      </c>
      <c r="F472" s="6">
        <v>0</v>
      </c>
      <c r="G472" s="6">
        <v>0</v>
      </c>
      <c r="H472" s="6">
        <v>0</v>
      </c>
      <c r="I472" s="6">
        <v>0</v>
      </c>
      <c r="J472" s="6">
        <v>0</v>
      </c>
      <c r="K472" s="7" t="str">
        <f t="shared" si="16"/>
        <v>2B</v>
      </c>
      <c r="L472" t="b">
        <f t="shared" si="15"/>
        <v>0</v>
      </c>
    </row>
    <row r="473" spans="1:12" x14ac:dyDescent="0.2">
      <c r="A473" t="s">
        <v>257</v>
      </c>
      <c r="B473" s="6">
        <v>7</v>
      </c>
      <c r="C473" s="6">
        <v>0</v>
      </c>
      <c r="D473" s="6">
        <v>0</v>
      </c>
      <c r="E473" s="6">
        <v>0</v>
      </c>
      <c r="F473" s="6">
        <v>0</v>
      </c>
      <c r="G473" s="6">
        <v>0</v>
      </c>
      <c r="H473" s="6">
        <v>0</v>
      </c>
      <c r="I473" s="6">
        <v>0</v>
      </c>
      <c r="J473" s="6">
        <v>0</v>
      </c>
      <c r="K473" s="7" t="str">
        <f t="shared" si="16"/>
        <v>C</v>
      </c>
      <c r="L473" t="b">
        <f t="shared" si="15"/>
        <v>0</v>
      </c>
    </row>
    <row r="474" spans="1:12" x14ac:dyDescent="0.2">
      <c r="A474" t="s">
        <v>663</v>
      </c>
      <c r="B474" s="6">
        <v>2</v>
      </c>
      <c r="C474" s="6">
        <v>0</v>
      </c>
      <c r="D474" s="6">
        <v>0</v>
      </c>
      <c r="E474" s="6">
        <v>0</v>
      </c>
      <c r="F474" s="6">
        <v>0</v>
      </c>
      <c r="G474" s="6">
        <v>0</v>
      </c>
      <c r="H474" s="6">
        <v>0</v>
      </c>
      <c r="I474" s="6">
        <v>0</v>
      </c>
      <c r="J474" s="6">
        <v>0</v>
      </c>
      <c r="K474" s="7" t="str">
        <f t="shared" si="16"/>
        <v>C</v>
      </c>
      <c r="L474" t="b">
        <f t="shared" si="15"/>
        <v>0</v>
      </c>
    </row>
    <row r="475" spans="1:12" x14ac:dyDescent="0.2">
      <c r="A475" t="s">
        <v>151</v>
      </c>
      <c r="B475" s="6">
        <v>0</v>
      </c>
      <c r="C475" s="6">
        <v>2</v>
      </c>
      <c r="D475" s="6">
        <v>7</v>
      </c>
      <c r="E475" s="6">
        <v>5</v>
      </c>
      <c r="F475" s="6">
        <v>0</v>
      </c>
      <c r="G475" s="6">
        <v>2</v>
      </c>
      <c r="H475" s="6">
        <v>1</v>
      </c>
      <c r="I475" s="6">
        <v>26</v>
      </c>
      <c r="J475" s="6">
        <v>11</v>
      </c>
      <c r="K475" s="7" t="str">
        <f t="shared" si="16"/>
        <v>RF</v>
      </c>
      <c r="L475" t="b">
        <f t="shared" si="15"/>
        <v>0</v>
      </c>
    </row>
    <row r="476" spans="1:12" x14ac:dyDescent="0.2">
      <c r="A476" t="s">
        <v>310</v>
      </c>
      <c r="B476" s="6">
        <v>0</v>
      </c>
      <c r="C476" s="6">
        <v>42</v>
      </c>
      <c r="D476" s="6">
        <v>0</v>
      </c>
      <c r="E476" s="6">
        <v>0</v>
      </c>
      <c r="F476" s="6">
        <v>0</v>
      </c>
      <c r="G476" s="6">
        <v>28</v>
      </c>
      <c r="H476" s="6">
        <v>0</v>
      </c>
      <c r="I476" s="6">
        <v>1</v>
      </c>
      <c r="J476" s="6">
        <v>14</v>
      </c>
      <c r="K476" s="7" t="str">
        <f t="shared" si="16"/>
        <v>1B</v>
      </c>
      <c r="L476" t="b">
        <f t="shared" si="15"/>
        <v>0</v>
      </c>
    </row>
    <row r="477" spans="1:12" x14ac:dyDescent="0.2">
      <c r="A477" t="s">
        <v>416</v>
      </c>
      <c r="B477" s="6">
        <v>0</v>
      </c>
      <c r="C477" s="6">
        <v>0</v>
      </c>
      <c r="D477" s="6">
        <v>9</v>
      </c>
      <c r="E477" s="6">
        <v>12</v>
      </c>
      <c r="F477" s="6">
        <v>12</v>
      </c>
      <c r="G477" s="6">
        <v>0</v>
      </c>
      <c r="H477" s="6">
        <v>0</v>
      </c>
      <c r="I477" s="6">
        <v>0</v>
      </c>
      <c r="J477" s="6">
        <v>0</v>
      </c>
      <c r="K477" s="7" t="str">
        <f t="shared" si="16"/>
        <v>3B</v>
      </c>
      <c r="L477" t="b">
        <f t="shared" si="15"/>
        <v>1</v>
      </c>
    </row>
    <row r="478" spans="1:12" x14ac:dyDescent="0.2">
      <c r="A478" t="s">
        <v>270</v>
      </c>
      <c r="B478" s="6">
        <v>0</v>
      </c>
      <c r="C478" s="6">
        <v>0</v>
      </c>
      <c r="D478" s="6">
        <v>4</v>
      </c>
      <c r="E478" s="6">
        <v>0</v>
      </c>
      <c r="F478" s="6">
        <v>24</v>
      </c>
      <c r="G478" s="6">
        <v>0</v>
      </c>
      <c r="H478" s="6">
        <v>0</v>
      </c>
      <c r="I478" s="6">
        <v>0</v>
      </c>
      <c r="J478" s="6">
        <v>0</v>
      </c>
      <c r="K478" s="7" t="str">
        <f t="shared" si="16"/>
        <v>SS</v>
      </c>
      <c r="L478" t="b">
        <f t="shared" si="15"/>
        <v>0</v>
      </c>
    </row>
    <row r="479" spans="1:12" x14ac:dyDescent="0.2">
      <c r="A479" t="s">
        <v>664</v>
      </c>
      <c r="B479" s="6">
        <v>0</v>
      </c>
      <c r="C479" s="6">
        <v>0</v>
      </c>
      <c r="D479" s="6">
        <v>0</v>
      </c>
      <c r="E479" s="6">
        <v>0</v>
      </c>
      <c r="F479" s="6">
        <v>0</v>
      </c>
      <c r="G479" s="6">
        <v>0</v>
      </c>
      <c r="H479" s="6">
        <v>1</v>
      </c>
      <c r="I479" s="6">
        <v>0</v>
      </c>
      <c r="J479" s="6">
        <v>0</v>
      </c>
      <c r="K479" s="7" t="str">
        <f t="shared" si="16"/>
        <v>CF</v>
      </c>
      <c r="L479" t="b">
        <f t="shared" si="15"/>
        <v>0</v>
      </c>
    </row>
    <row r="480" spans="1:12" x14ac:dyDescent="0.2">
      <c r="A480" t="s">
        <v>456</v>
      </c>
      <c r="B480" s="6">
        <v>0</v>
      </c>
      <c r="C480" s="6">
        <v>0</v>
      </c>
      <c r="D480" s="6">
        <v>0</v>
      </c>
      <c r="E480" s="6">
        <v>0</v>
      </c>
      <c r="F480" s="6">
        <v>0</v>
      </c>
      <c r="G480" s="6">
        <v>86</v>
      </c>
      <c r="H480" s="6">
        <v>2</v>
      </c>
      <c r="I480" s="6">
        <v>0</v>
      </c>
      <c r="J480" s="6">
        <v>0</v>
      </c>
      <c r="K480" s="7" t="str">
        <f t="shared" si="16"/>
        <v>LF</v>
      </c>
      <c r="L480" t="b">
        <f t="shared" si="15"/>
        <v>0</v>
      </c>
    </row>
    <row r="481" spans="1:12" x14ac:dyDescent="0.2">
      <c r="A481" t="s">
        <v>137</v>
      </c>
      <c r="B481" s="6">
        <v>0</v>
      </c>
      <c r="C481" s="6">
        <v>0</v>
      </c>
      <c r="D481" s="6">
        <v>0</v>
      </c>
      <c r="E481" s="6">
        <v>0</v>
      </c>
      <c r="F481" s="6">
        <v>0</v>
      </c>
      <c r="G481" s="6">
        <v>17</v>
      </c>
      <c r="H481" s="6">
        <v>21</v>
      </c>
      <c r="I481" s="6">
        <v>1</v>
      </c>
      <c r="J481" s="6">
        <v>0</v>
      </c>
      <c r="K481" s="7" t="str">
        <f t="shared" si="16"/>
        <v>CF</v>
      </c>
      <c r="L481" t="b">
        <f t="shared" si="15"/>
        <v>0</v>
      </c>
    </row>
    <row r="482" spans="1:12" x14ac:dyDescent="0.2">
      <c r="A482" t="s">
        <v>268</v>
      </c>
      <c r="B482" s="6">
        <v>0</v>
      </c>
      <c r="C482" s="6">
        <v>0</v>
      </c>
      <c r="D482" s="6">
        <v>0</v>
      </c>
      <c r="E482" s="6">
        <v>0</v>
      </c>
      <c r="F482" s="6">
        <v>0</v>
      </c>
      <c r="G482" s="6">
        <v>5</v>
      </c>
      <c r="H482" s="6">
        <v>0</v>
      </c>
      <c r="I482" s="6">
        <v>16</v>
      </c>
      <c r="J482" s="6">
        <v>3</v>
      </c>
      <c r="K482" s="7" t="str">
        <f t="shared" si="16"/>
        <v>RF</v>
      </c>
      <c r="L482" t="b">
        <f t="shared" si="15"/>
        <v>0</v>
      </c>
    </row>
    <row r="483" spans="1:12" x14ac:dyDescent="0.2">
      <c r="A483" t="s">
        <v>48</v>
      </c>
      <c r="B483" s="6">
        <v>0</v>
      </c>
      <c r="C483" s="6">
        <v>0</v>
      </c>
      <c r="D483" s="6">
        <v>0</v>
      </c>
      <c r="E483" s="6">
        <v>0</v>
      </c>
      <c r="F483" s="6">
        <v>0</v>
      </c>
      <c r="G483" s="6">
        <v>0</v>
      </c>
      <c r="H483" s="6">
        <v>1</v>
      </c>
      <c r="I483" s="6">
        <v>96</v>
      </c>
      <c r="J483" s="6">
        <v>0</v>
      </c>
      <c r="K483" s="7" t="str">
        <f t="shared" si="16"/>
        <v>RF</v>
      </c>
      <c r="L483" t="b">
        <f t="shared" si="15"/>
        <v>0</v>
      </c>
    </row>
    <row r="484" spans="1:12" x14ac:dyDescent="0.2">
      <c r="A484" t="s">
        <v>373</v>
      </c>
      <c r="B484" s="6">
        <v>0</v>
      </c>
      <c r="C484" s="6">
        <v>1</v>
      </c>
      <c r="D484" s="6">
        <v>0</v>
      </c>
      <c r="E484" s="6">
        <v>0</v>
      </c>
      <c r="F484" s="6">
        <v>0</v>
      </c>
      <c r="G484" s="6">
        <v>1</v>
      </c>
      <c r="H484" s="6">
        <v>0</v>
      </c>
      <c r="I484" s="6">
        <v>0</v>
      </c>
      <c r="J484" s="6">
        <v>55</v>
      </c>
      <c r="K484" s="7" t="str">
        <f t="shared" si="16"/>
        <v>DH</v>
      </c>
      <c r="L484" t="b">
        <f t="shared" si="15"/>
        <v>0</v>
      </c>
    </row>
    <row r="485" spans="1:12" x14ac:dyDescent="0.2">
      <c r="A485" t="s">
        <v>437</v>
      </c>
      <c r="B485" s="6">
        <v>0</v>
      </c>
      <c r="C485" s="6">
        <v>1</v>
      </c>
      <c r="D485" s="6">
        <v>34</v>
      </c>
      <c r="E485" s="6">
        <v>2</v>
      </c>
      <c r="F485" s="6">
        <v>0</v>
      </c>
      <c r="G485" s="6">
        <v>3</v>
      </c>
      <c r="H485" s="6">
        <v>0</v>
      </c>
      <c r="I485" s="6">
        <v>0</v>
      </c>
      <c r="J485" s="6">
        <v>2</v>
      </c>
      <c r="K485" s="7" t="str">
        <f t="shared" si="16"/>
        <v>2B</v>
      </c>
      <c r="L485" t="b">
        <f t="shared" si="15"/>
        <v>0</v>
      </c>
    </row>
    <row r="486" spans="1:12" x14ac:dyDescent="0.2">
      <c r="A486" t="s">
        <v>445</v>
      </c>
      <c r="B486" s="6">
        <v>0</v>
      </c>
      <c r="C486" s="6">
        <v>17</v>
      </c>
      <c r="D486" s="6">
        <v>0</v>
      </c>
      <c r="E486" s="6">
        <v>0</v>
      </c>
      <c r="F486" s="6">
        <v>0</v>
      </c>
      <c r="G486" s="6">
        <v>0</v>
      </c>
      <c r="H486" s="6">
        <v>0</v>
      </c>
      <c r="I486" s="6">
        <v>0</v>
      </c>
      <c r="J486" s="6">
        <v>11</v>
      </c>
      <c r="K486" s="7" t="str">
        <f t="shared" si="16"/>
        <v>1B</v>
      </c>
      <c r="L486" t="b">
        <f t="shared" si="15"/>
        <v>0</v>
      </c>
    </row>
    <row r="487" spans="1:12" x14ac:dyDescent="0.2">
      <c r="A487" t="s">
        <v>117</v>
      </c>
      <c r="B487" s="6">
        <v>48</v>
      </c>
      <c r="C487" s="6">
        <v>0</v>
      </c>
      <c r="D487" s="6">
        <v>0</v>
      </c>
      <c r="E487" s="6">
        <v>0</v>
      </c>
      <c r="F487" s="6">
        <v>0</v>
      </c>
      <c r="G487" s="6">
        <v>0</v>
      </c>
      <c r="H487" s="6">
        <v>0</v>
      </c>
      <c r="I487" s="6">
        <v>0</v>
      </c>
      <c r="J487" s="6">
        <v>2</v>
      </c>
      <c r="K487" s="7" t="str">
        <f t="shared" si="16"/>
        <v>C</v>
      </c>
      <c r="L487" t="b">
        <f t="shared" si="15"/>
        <v>0</v>
      </c>
    </row>
    <row r="488" spans="1:12" x14ac:dyDescent="0.2">
      <c r="A488" t="s">
        <v>309</v>
      </c>
      <c r="B488" s="6">
        <v>0</v>
      </c>
      <c r="C488" s="6">
        <v>0</v>
      </c>
      <c r="D488" s="6">
        <v>0</v>
      </c>
      <c r="E488" s="6">
        <v>0</v>
      </c>
      <c r="F488" s="6">
        <v>0</v>
      </c>
      <c r="G488" s="6">
        <v>80</v>
      </c>
      <c r="H488" s="6">
        <v>0</v>
      </c>
      <c r="I488" s="6">
        <v>0</v>
      </c>
      <c r="J488" s="6">
        <v>3</v>
      </c>
      <c r="K488" s="7" t="str">
        <f t="shared" si="16"/>
        <v>LF</v>
      </c>
      <c r="L488" t="b">
        <f t="shared" si="15"/>
        <v>0</v>
      </c>
    </row>
    <row r="489" spans="1:12" x14ac:dyDescent="0.2">
      <c r="A489" t="s">
        <v>665</v>
      </c>
      <c r="B489" s="6">
        <v>0</v>
      </c>
      <c r="C489" s="6">
        <v>1</v>
      </c>
      <c r="D489" s="6">
        <v>6</v>
      </c>
      <c r="E489" s="6">
        <v>6</v>
      </c>
      <c r="F489" s="6">
        <v>2</v>
      </c>
      <c r="G489" s="6">
        <v>0</v>
      </c>
      <c r="H489" s="6">
        <v>0</v>
      </c>
      <c r="I489" s="6">
        <v>0</v>
      </c>
      <c r="J489" s="6">
        <v>0</v>
      </c>
      <c r="K489" s="7" t="str">
        <f t="shared" si="16"/>
        <v>2B</v>
      </c>
      <c r="L489" t="b">
        <f t="shared" si="15"/>
        <v>1</v>
      </c>
    </row>
    <row r="490" spans="1:12" x14ac:dyDescent="0.2">
      <c r="A490" t="s">
        <v>666</v>
      </c>
      <c r="B490" s="6">
        <v>0</v>
      </c>
      <c r="C490" s="6">
        <v>0</v>
      </c>
      <c r="D490" s="6">
        <v>0</v>
      </c>
      <c r="E490" s="6">
        <v>0</v>
      </c>
      <c r="F490" s="6">
        <v>0</v>
      </c>
      <c r="G490" s="6">
        <v>0</v>
      </c>
      <c r="H490" s="6">
        <v>0</v>
      </c>
      <c r="I490" s="6">
        <v>0</v>
      </c>
      <c r="J490" s="6">
        <v>3</v>
      </c>
      <c r="K490" s="7" t="str">
        <f t="shared" si="16"/>
        <v>DH</v>
      </c>
      <c r="L490" t="b">
        <f t="shared" si="15"/>
        <v>0</v>
      </c>
    </row>
    <row r="491" spans="1:12" x14ac:dyDescent="0.2">
      <c r="A491" t="s">
        <v>56</v>
      </c>
      <c r="B491" s="6">
        <v>0</v>
      </c>
      <c r="C491" s="6">
        <v>0</v>
      </c>
      <c r="D491" s="6">
        <v>0</v>
      </c>
      <c r="E491" s="6">
        <v>0</v>
      </c>
      <c r="F491" s="6">
        <v>0</v>
      </c>
      <c r="G491" s="6">
        <v>0</v>
      </c>
      <c r="H491" s="6">
        <v>0</v>
      </c>
      <c r="I491" s="6">
        <v>9</v>
      </c>
      <c r="J491" s="6">
        <v>64</v>
      </c>
      <c r="K491" s="7" t="str">
        <f t="shared" si="16"/>
        <v>DH</v>
      </c>
      <c r="L491" t="b">
        <f t="shared" si="15"/>
        <v>0</v>
      </c>
    </row>
    <row r="492" spans="1:12" x14ac:dyDescent="0.2">
      <c r="A492" t="s">
        <v>667</v>
      </c>
      <c r="B492" s="6">
        <v>0</v>
      </c>
      <c r="C492" s="6">
        <v>0</v>
      </c>
      <c r="D492" s="6">
        <v>26</v>
      </c>
      <c r="E492" s="6">
        <v>6</v>
      </c>
      <c r="F492" s="6">
        <v>9</v>
      </c>
      <c r="G492" s="6">
        <v>0</v>
      </c>
      <c r="H492" s="6">
        <v>0</v>
      </c>
      <c r="I492" s="6">
        <v>0</v>
      </c>
      <c r="J492" s="6">
        <v>0</v>
      </c>
      <c r="K492" s="7" t="str">
        <f t="shared" si="16"/>
        <v>2B</v>
      </c>
      <c r="L492" t="b">
        <f t="shared" si="15"/>
        <v>0</v>
      </c>
    </row>
    <row r="493" spans="1:12" x14ac:dyDescent="0.2">
      <c r="A493" t="s">
        <v>133</v>
      </c>
      <c r="B493" s="6">
        <v>0</v>
      </c>
      <c r="C493" s="6">
        <v>0</v>
      </c>
      <c r="D493" s="6">
        <v>14</v>
      </c>
      <c r="E493" s="6">
        <v>12</v>
      </c>
      <c r="F493" s="6">
        <v>13</v>
      </c>
      <c r="G493" s="6">
        <v>18</v>
      </c>
      <c r="H493" s="6">
        <v>0</v>
      </c>
      <c r="I493" s="6">
        <v>0</v>
      </c>
      <c r="J493" s="6">
        <v>1</v>
      </c>
      <c r="K493" s="7" t="str">
        <f t="shared" si="16"/>
        <v>LF</v>
      </c>
      <c r="L493" t="b">
        <f t="shared" si="15"/>
        <v>0</v>
      </c>
    </row>
    <row r="494" spans="1:12" x14ac:dyDescent="0.2">
      <c r="A494" t="s">
        <v>227</v>
      </c>
      <c r="B494" s="6">
        <v>0</v>
      </c>
      <c r="C494" s="6">
        <v>12</v>
      </c>
      <c r="D494" s="6">
        <v>14</v>
      </c>
      <c r="E494" s="6">
        <v>0</v>
      </c>
      <c r="F494" s="6">
        <v>0</v>
      </c>
      <c r="G494" s="6">
        <v>0</v>
      </c>
      <c r="H494" s="6">
        <v>0</v>
      </c>
      <c r="I494" s="6">
        <v>0</v>
      </c>
      <c r="J494" s="6">
        <v>9</v>
      </c>
      <c r="K494" s="7" t="str">
        <f t="shared" si="16"/>
        <v>2B</v>
      </c>
      <c r="L494" t="b">
        <f t="shared" si="15"/>
        <v>0</v>
      </c>
    </row>
    <row r="495" spans="1:12" x14ac:dyDescent="0.2">
      <c r="A495" t="s">
        <v>285</v>
      </c>
      <c r="B495" s="6">
        <v>0</v>
      </c>
      <c r="C495" s="6">
        <v>0</v>
      </c>
      <c r="D495" s="6">
        <v>0</v>
      </c>
      <c r="E495" s="6">
        <v>0</v>
      </c>
      <c r="F495" s="6">
        <v>0</v>
      </c>
      <c r="G495" s="6">
        <v>50</v>
      </c>
      <c r="H495" s="6">
        <v>0</v>
      </c>
      <c r="I495" s="6">
        <v>0</v>
      </c>
      <c r="J495" s="6">
        <v>28</v>
      </c>
      <c r="K495" s="7" t="str">
        <f t="shared" si="16"/>
        <v>LF</v>
      </c>
      <c r="L495" t="b">
        <f t="shared" si="15"/>
        <v>0</v>
      </c>
    </row>
    <row r="496" spans="1:12" x14ac:dyDescent="0.2">
      <c r="A496" t="s">
        <v>79</v>
      </c>
      <c r="B496" s="6">
        <v>0</v>
      </c>
      <c r="C496" s="6">
        <v>0</v>
      </c>
      <c r="D496" s="6">
        <v>0</v>
      </c>
      <c r="E496" s="6">
        <v>0</v>
      </c>
      <c r="F496" s="6">
        <v>0</v>
      </c>
      <c r="G496" s="6">
        <v>0</v>
      </c>
      <c r="H496" s="6">
        <v>0</v>
      </c>
      <c r="I496" s="6">
        <v>0</v>
      </c>
      <c r="J496" s="6">
        <v>66</v>
      </c>
      <c r="K496" s="7" t="str">
        <f t="shared" si="16"/>
        <v>DH</v>
      </c>
      <c r="L496" t="b">
        <f t="shared" si="15"/>
        <v>0</v>
      </c>
    </row>
    <row r="497" spans="1:12" x14ac:dyDescent="0.2">
      <c r="A497" t="s">
        <v>186</v>
      </c>
      <c r="B497" s="6">
        <v>0</v>
      </c>
      <c r="C497" s="6">
        <v>0</v>
      </c>
      <c r="D497" s="6">
        <v>0</v>
      </c>
      <c r="E497" s="6">
        <v>0</v>
      </c>
      <c r="F497" s="6">
        <v>0</v>
      </c>
      <c r="G497" s="6">
        <v>0</v>
      </c>
      <c r="H497" s="6">
        <v>0</v>
      </c>
      <c r="I497" s="6">
        <v>0</v>
      </c>
      <c r="J497" s="6">
        <v>23</v>
      </c>
      <c r="K497" s="7" t="str">
        <f t="shared" si="16"/>
        <v>DH</v>
      </c>
      <c r="L497" t="b">
        <f t="shared" si="15"/>
        <v>0</v>
      </c>
    </row>
    <row r="498" spans="1:12" x14ac:dyDescent="0.2">
      <c r="A498" t="s">
        <v>41</v>
      </c>
      <c r="B498" s="6">
        <v>0</v>
      </c>
      <c r="C498" s="6">
        <v>45</v>
      </c>
      <c r="D498" s="6">
        <v>13</v>
      </c>
      <c r="E498" s="6">
        <v>2</v>
      </c>
      <c r="F498" s="6">
        <v>0</v>
      </c>
      <c r="G498" s="6">
        <v>27</v>
      </c>
      <c r="H498" s="6">
        <v>2</v>
      </c>
      <c r="I498" s="6">
        <v>26</v>
      </c>
      <c r="J498" s="6">
        <v>1</v>
      </c>
      <c r="K498" s="7" t="str">
        <f t="shared" si="16"/>
        <v>1B</v>
      </c>
      <c r="L498" t="b">
        <f t="shared" si="15"/>
        <v>0</v>
      </c>
    </row>
    <row r="499" spans="1:12" x14ac:dyDescent="0.2">
      <c r="A499" t="s">
        <v>668</v>
      </c>
      <c r="B499" s="6">
        <v>0</v>
      </c>
      <c r="C499" s="6">
        <v>0</v>
      </c>
      <c r="D499" s="6">
        <v>1</v>
      </c>
      <c r="E499" s="6">
        <v>0</v>
      </c>
      <c r="F499" s="6">
        <v>1</v>
      </c>
      <c r="G499" s="6">
        <v>0</v>
      </c>
      <c r="H499" s="6">
        <v>0</v>
      </c>
      <c r="I499" s="6">
        <v>0</v>
      </c>
      <c r="J499" s="6">
        <v>0</v>
      </c>
      <c r="K499" s="7" t="str">
        <f t="shared" si="16"/>
        <v>2B</v>
      </c>
      <c r="L499" t="b">
        <f t="shared" si="15"/>
        <v>1</v>
      </c>
    </row>
    <row r="500" spans="1:12" x14ac:dyDescent="0.2">
      <c r="A500" t="s">
        <v>114</v>
      </c>
      <c r="B500" s="6">
        <v>72</v>
      </c>
      <c r="C500" s="6">
        <v>0</v>
      </c>
      <c r="D500" s="6">
        <v>0</v>
      </c>
      <c r="E500" s="6">
        <v>0</v>
      </c>
      <c r="F500" s="6">
        <v>0</v>
      </c>
      <c r="G500" s="6">
        <v>0</v>
      </c>
      <c r="H500" s="6">
        <v>0</v>
      </c>
      <c r="I500" s="6">
        <v>0</v>
      </c>
      <c r="J500" s="6">
        <v>0</v>
      </c>
      <c r="K500" s="7" t="str">
        <f t="shared" si="16"/>
        <v>C</v>
      </c>
      <c r="L500" t="b">
        <f t="shared" si="15"/>
        <v>0</v>
      </c>
    </row>
    <row r="501" spans="1:12" x14ac:dyDescent="0.2">
      <c r="A501" t="s">
        <v>669</v>
      </c>
      <c r="B501" s="6">
        <v>0</v>
      </c>
      <c r="C501" s="6">
        <v>0</v>
      </c>
      <c r="D501" s="6">
        <v>13</v>
      </c>
      <c r="E501" s="6">
        <v>4</v>
      </c>
      <c r="F501" s="6">
        <v>2</v>
      </c>
      <c r="G501" s="6">
        <v>0</v>
      </c>
      <c r="H501" s="6">
        <v>0</v>
      </c>
      <c r="I501" s="6">
        <v>0</v>
      </c>
      <c r="J501" s="6">
        <v>0</v>
      </c>
      <c r="K501" s="7" t="str">
        <f t="shared" si="16"/>
        <v>2B</v>
      </c>
      <c r="L501" t="b">
        <f t="shared" si="15"/>
        <v>0</v>
      </c>
    </row>
    <row r="502" spans="1:12" x14ac:dyDescent="0.2">
      <c r="A502" t="s">
        <v>23</v>
      </c>
      <c r="B502" s="6">
        <v>0</v>
      </c>
      <c r="C502" s="6">
        <v>57</v>
      </c>
      <c r="D502" s="6">
        <v>6</v>
      </c>
      <c r="E502" s="6">
        <v>39</v>
      </c>
      <c r="F502" s="6">
        <v>0</v>
      </c>
      <c r="G502" s="6">
        <v>0</v>
      </c>
      <c r="H502" s="6">
        <v>0</v>
      </c>
      <c r="I502" s="6">
        <v>0</v>
      </c>
      <c r="J502" s="6">
        <v>8</v>
      </c>
      <c r="K502" s="7" t="str">
        <f t="shared" ref="K502" si="17">INDEX($B$1:$J$1, MATCH(MAX(B502:J502), B502:J502, 0))</f>
        <v>1B</v>
      </c>
      <c r="L502" t="b">
        <f t="shared" ref="L502" si="18">COUNTIF(B502:J502, MAX(B502:J502)) &gt; 1</f>
        <v>0</v>
      </c>
    </row>
    <row r="503" spans="1:12" x14ac:dyDescent="0.2">
      <c r="A503" t="s">
        <v>172</v>
      </c>
      <c r="B503" s="6">
        <v>0</v>
      </c>
      <c r="C503" s="6">
        <v>0</v>
      </c>
      <c r="D503" s="6">
        <v>0</v>
      </c>
      <c r="E503" s="6">
        <v>0</v>
      </c>
      <c r="F503" s="6">
        <v>39</v>
      </c>
      <c r="G503" s="6">
        <v>0</v>
      </c>
      <c r="H503" s="6">
        <v>0</v>
      </c>
      <c r="I503" s="6">
        <v>0</v>
      </c>
      <c r="J503" s="6">
        <v>2</v>
      </c>
      <c r="K503" s="7" t="str">
        <f t="shared" ref="K503:K566" si="19">INDEX($B$1:$J$1, MATCH(MAX(B503:J503), B503:J503, 0))</f>
        <v>SS</v>
      </c>
      <c r="L503" t="b">
        <f t="shared" ref="L503:L566" si="20">COUNTIF(B503:J503, MAX(B503:J503)) &gt; 1</f>
        <v>0</v>
      </c>
    </row>
    <row r="504" spans="1:12" x14ac:dyDescent="0.2">
      <c r="A504" t="s">
        <v>354</v>
      </c>
      <c r="B504" s="6">
        <v>0</v>
      </c>
      <c r="C504" s="6">
        <v>0</v>
      </c>
      <c r="D504" s="6">
        <v>91</v>
      </c>
      <c r="E504" s="6">
        <v>0</v>
      </c>
      <c r="F504" s="6">
        <v>0</v>
      </c>
      <c r="G504" s="6">
        <v>0</v>
      </c>
      <c r="H504" s="6">
        <v>0</v>
      </c>
      <c r="I504" s="6">
        <v>0</v>
      </c>
      <c r="J504" s="6">
        <v>0</v>
      </c>
      <c r="K504" s="7" t="str">
        <f t="shared" si="19"/>
        <v>2B</v>
      </c>
      <c r="L504" t="b">
        <f t="shared" si="20"/>
        <v>0</v>
      </c>
    </row>
    <row r="505" spans="1:12" x14ac:dyDescent="0.2">
      <c r="A505" t="s">
        <v>322</v>
      </c>
      <c r="B505" s="6">
        <v>0</v>
      </c>
      <c r="C505" s="6">
        <v>24</v>
      </c>
      <c r="D505" s="6">
        <v>0</v>
      </c>
      <c r="E505" s="6">
        <v>0</v>
      </c>
      <c r="F505" s="6">
        <v>0</v>
      </c>
      <c r="G505" s="6">
        <v>31</v>
      </c>
      <c r="H505" s="6">
        <v>0</v>
      </c>
      <c r="I505" s="6">
        <v>21</v>
      </c>
      <c r="J505" s="6">
        <v>8</v>
      </c>
      <c r="K505" s="7" t="str">
        <f t="shared" si="19"/>
        <v>LF</v>
      </c>
      <c r="L505" t="b">
        <f t="shared" si="20"/>
        <v>0</v>
      </c>
    </row>
    <row r="506" spans="1:12" x14ac:dyDescent="0.2">
      <c r="A506" t="s">
        <v>173</v>
      </c>
      <c r="B506" s="6">
        <v>0</v>
      </c>
      <c r="C506" s="6">
        <v>0</v>
      </c>
      <c r="D506" s="6">
        <v>0</v>
      </c>
      <c r="E506" s="6">
        <v>0</v>
      </c>
      <c r="F506" s="6">
        <v>0</v>
      </c>
      <c r="G506" s="6">
        <v>34</v>
      </c>
      <c r="H506" s="6">
        <v>22</v>
      </c>
      <c r="I506" s="6">
        <v>28</v>
      </c>
      <c r="J506" s="6">
        <v>2</v>
      </c>
      <c r="K506" s="7" t="str">
        <f t="shared" si="19"/>
        <v>LF</v>
      </c>
      <c r="L506" t="b">
        <f t="shared" si="20"/>
        <v>0</v>
      </c>
    </row>
    <row r="507" spans="1:12" x14ac:dyDescent="0.2">
      <c r="A507" t="s">
        <v>674</v>
      </c>
      <c r="B507" s="6">
        <v>10</v>
      </c>
      <c r="C507" s="6">
        <v>3</v>
      </c>
      <c r="D507" s="6">
        <v>0</v>
      </c>
      <c r="E507" s="6">
        <v>2</v>
      </c>
      <c r="F507" s="6">
        <v>0</v>
      </c>
      <c r="G507" s="6">
        <v>1</v>
      </c>
      <c r="H507" s="6">
        <v>0</v>
      </c>
      <c r="I507" s="6">
        <v>0</v>
      </c>
      <c r="J507" s="6">
        <v>1</v>
      </c>
      <c r="K507" s="7" t="str">
        <f t="shared" si="19"/>
        <v>C</v>
      </c>
      <c r="L507" t="b">
        <f t="shared" si="20"/>
        <v>0</v>
      </c>
    </row>
    <row r="508" spans="1:12" x14ac:dyDescent="0.2">
      <c r="A508" t="s">
        <v>675</v>
      </c>
      <c r="B508" s="6">
        <v>0</v>
      </c>
      <c r="C508" s="6">
        <v>0</v>
      </c>
      <c r="D508" s="6">
        <v>0</v>
      </c>
      <c r="E508" s="6">
        <v>26</v>
      </c>
      <c r="F508" s="6">
        <v>0</v>
      </c>
      <c r="G508" s="6">
        <v>0</v>
      </c>
      <c r="H508" s="6">
        <v>0</v>
      </c>
      <c r="I508" s="6">
        <v>0</v>
      </c>
      <c r="J508" s="6">
        <v>41</v>
      </c>
      <c r="K508" s="7" t="str">
        <f t="shared" si="19"/>
        <v>DH</v>
      </c>
      <c r="L508" t="b">
        <f t="shared" si="20"/>
        <v>0</v>
      </c>
    </row>
    <row r="509" spans="1:12" x14ac:dyDescent="0.2">
      <c r="A509" t="s">
        <v>396</v>
      </c>
      <c r="B509" s="6">
        <v>36</v>
      </c>
      <c r="C509" s="6">
        <v>2</v>
      </c>
      <c r="D509" s="6">
        <v>0</v>
      </c>
      <c r="E509" s="6">
        <v>0</v>
      </c>
      <c r="F509" s="6">
        <v>0</v>
      </c>
      <c r="G509" s="6">
        <v>0</v>
      </c>
      <c r="H509" s="6">
        <v>0</v>
      </c>
      <c r="I509" s="6">
        <v>0</v>
      </c>
      <c r="J509" s="6">
        <v>3</v>
      </c>
      <c r="K509" s="7" t="str">
        <f t="shared" si="19"/>
        <v>C</v>
      </c>
      <c r="L509" t="b">
        <f t="shared" si="20"/>
        <v>0</v>
      </c>
    </row>
    <row r="510" spans="1:12" x14ac:dyDescent="0.2">
      <c r="A510" t="s">
        <v>263</v>
      </c>
      <c r="B510" s="6">
        <v>32</v>
      </c>
      <c r="C510" s="6">
        <v>0</v>
      </c>
      <c r="D510" s="6">
        <v>0</v>
      </c>
      <c r="E510" s="6">
        <v>1</v>
      </c>
      <c r="F510" s="6">
        <v>0</v>
      </c>
      <c r="G510" s="6">
        <v>0</v>
      </c>
      <c r="H510" s="6">
        <v>0</v>
      </c>
      <c r="I510" s="6">
        <v>0</v>
      </c>
      <c r="J510" s="6">
        <v>0</v>
      </c>
      <c r="K510" s="7" t="str">
        <f t="shared" si="19"/>
        <v>C</v>
      </c>
      <c r="L510" t="b">
        <f t="shared" si="20"/>
        <v>0</v>
      </c>
    </row>
    <row r="511" spans="1:12" x14ac:dyDescent="0.2">
      <c r="A511" t="s">
        <v>38</v>
      </c>
      <c r="B511" s="6">
        <v>0</v>
      </c>
      <c r="C511" s="6">
        <v>0</v>
      </c>
      <c r="D511" s="6">
        <v>0</v>
      </c>
      <c r="E511" s="6">
        <v>0</v>
      </c>
      <c r="F511" s="6">
        <v>0</v>
      </c>
      <c r="G511" s="6">
        <v>0</v>
      </c>
      <c r="H511" s="6">
        <v>0</v>
      </c>
      <c r="I511" s="6">
        <v>59</v>
      </c>
      <c r="J511" s="6">
        <v>19</v>
      </c>
      <c r="K511" s="7" t="str">
        <f t="shared" si="19"/>
        <v>RF</v>
      </c>
      <c r="L511" t="b">
        <f t="shared" si="20"/>
        <v>0</v>
      </c>
    </row>
    <row r="512" spans="1:12" x14ac:dyDescent="0.2">
      <c r="A512" t="s">
        <v>36</v>
      </c>
      <c r="B512" s="6">
        <v>0</v>
      </c>
      <c r="C512" s="6">
        <v>0</v>
      </c>
      <c r="D512" s="6">
        <v>0</v>
      </c>
      <c r="E512" s="6">
        <v>0</v>
      </c>
      <c r="F512" s="6">
        <v>90</v>
      </c>
      <c r="G512" s="6">
        <v>0</v>
      </c>
      <c r="H512" s="6">
        <v>0</v>
      </c>
      <c r="I512" s="6">
        <v>0</v>
      </c>
      <c r="J512" s="6">
        <v>1</v>
      </c>
      <c r="K512" s="7" t="str">
        <f t="shared" si="19"/>
        <v>SS</v>
      </c>
      <c r="L512" t="b">
        <f t="shared" si="20"/>
        <v>0</v>
      </c>
    </row>
    <row r="513" spans="1:12" x14ac:dyDescent="0.2">
      <c r="A513" t="s">
        <v>124</v>
      </c>
      <c r="B513" s="6">
        <v>0</v>
      </c>
      <c r="C513" s="6">
        <v>0</v>
      </c>
      <c r="D513" s="6">
        <v>42</v>
      </c>
      <c r="E513" s="6">
        <v>0</v>
      </c>
      <c r="F513" s="6">
        <v>0</v>
      </c>
      <c r="G513" s="6">
        <v>0</v>
      </c>
      <c r="H513" s="6">
        <v>0</v>
      </c>
      <c r="I513" s="6">
        <v>64</v>
      </c>
      <c r="J513" s="6">
        <v>0</v>
      </c>
      <c r="K513" s="7" t="str">
        <f t="shared" si="19"/>
        <v>RF</v>
      </c>
      <c r="L513" t="b">
        <f t="shared" si="20"/>
        <v>0</v>
      </c>
    </row>
    <row r="514" spans="1:12" x14ac:dyDescent="0.2">
      <c r="A514" t="s">
        <v>486</v>
      </c>
      <c r="B514" s="6">
        <v>0</v>
      </c>
      <c r="C514" s="6">
        <v>0</v>
      </c>
      <c r="D514" s="6">
        <v>0</v>
      </c>
      <c r="E514" s="6">
        <v>1</v>
      </c>
      <c r="F514" s="6">
        <v>0</v>
      </c>
      <c r="G514" s="6">
        <v>0</v>
      </c>
      <c r="H514" s="6">
        <v>65</v>
      </c>
      <c r="I514" s="6">
        <v>20</v>
      </c>
      <c r="J514" s="6">
        <v>0</v>
      </c>
      <c r="K514" s="7" t="str">
        <f t="shared" si="19"/>
        <v>CF</v>
      </c>
      <c r="L514" t="b">
        <f t="shared" si="20"/>
        <v>0</v>
      </c>
    </row>
    <row r="515" spans="1:12" x14ac:dyDescent="0.2">
      <c r="A515" t="s">
        <v>185</v>
      </c>
      <c r="B515" s="6">
        <v>0</v>
      </c>
      <c r="C515" s="6">
        <v>7</v>
      </c>
      <c r="D515" s="6">
        <v>2</v>
      </c>
      <c r="E515" s="6">
        <v>4</v>
      </c>
      <c r="F515" s="6">
        <v>0</v>
      </c>
      <c r="G515" s="6">
        <v>21</v>
      </c>
      <c r="H515" s="6">
        <v>4</v>
      </c>
      <c r="I515" s="6">
        <v>0</v>
      </c>
      <c r="J515" s="6">
        <v>3</v>
      </c>
      <c r="K515" s="7" t="str">
        <f t="shared" si="19"/>
        <v>LF</v>
      </c>
      <c r="L515" t="b">
        <f t="shared" si="20"/>
        <v>0</v>
      </c>
    </row>
    <row r="516" spans="1:12" x14ac:dyDescent="0.2">
      <c r="A516" t="s">
        <v>228</v>
      </c>
      <c r="B516" s="6">
        <v>0</v>
      </c>
      <c r="C516" s="6">
        <v>0</v>
      </c>
      <c r="D516" s="6">
        <v>0</v>
      </c>
      <c r="E516" s="6">
        <v>0</v>
      </c>
      <c r="F516" s="6">
        <v>0</v>
      </c>
      <c r="G516" s="6">
        <v>22</v>
      </c>
      <c r="H516" s="6">
        <v>0</v>
      </c>
      <c r="I516" s="6">
        <v>6</v>
      </c>
      <c r="J516" s="6">
        <v>0</v>
      </c>
      <c r="K516" s="7" t="str">
        <f t="shared" si="19"/>
        <v>LF</v>
      </c>
      <c r="L516" t="b">
        <f t="shared" si="20"/>
        <v>0</v>
      </c>
    </row>
    <row r="517" spans="1:12" x14ac:dyDescent="0.2">
      <c r="A517" t="s">
        <v>123</v>
      </c>
      <c r="B517" s="6">
        <v>0</v>
      </c>
      <c r="C517" s="6">
        <v>0</v>
      </c>
      <c r="D517" s="6">
        <v>0</v>
      </c>
      <c r="E517" s="6">
        <v>0</v>
      </c>
      <c r="F517" s="6">
        <v>0</v>
      </c>
      <c r="G517" s="6">
        <v>15</v>
      </c>
      <c r="H517" s="6">
        <v>19</v>
      </c>
      <c r="I517" s="6">
        <v>13</v>
      </c>
      <c r="J517" s="6">
        <v>2</v>
      </c>
      <c r="K517" s="7" t="str">
        <f t="shared" si="19"/>
        <v>CF</v>
      </c>
      <c r="L517" t="b">
        <f t="shared" si="20"/>
        <v>0</v>
      </c>
    </row>
    <row r="518" spans="1:12" x14ac:dyDescent="0.2">
      <c r="A518" t="s">
        <v>432</v>
      </c>
      <c r="B518" s="6">
        <v>15</v>
      </c>
      <c r="C518" s="6">
        <v>0</v>
      </c>
      <c r="D518" s="6">
        <v>0</v>
      </c>
      <c r="E518" s="6">
        <v>0</v>
      </c>
      <c r="F518" s="6">
        <v>0</v>
      </c>
      <c r="G518" s="6">
        <v>0</v>
      </c>
      <c r="H518" s="6">
        <v>0</v>
      </c>
      <c r="I518" s="6">
        <v>0</v>
      </c>
      <c r="J518" s="6">
        <v>1</v>
      </c>
      <c r="K518" s="7" t="str">
        <f t="shared" si="19"/>
        <v>C</v>
      </c>
      <c r="L518" t="b">
        <f t="shared" si="20"/>
        <v>0</v>
      </c>
    </row>
    <row r="519" spans="1:12" x14ac:dyDescent="0.2">
      <c r="A519" t="s">
        <v>455</v>
      </c>
      <c r="B519" s="6">
        <v>0</v>
      </c>
      <c r="C519" s="6">
        <v>2</v>
      </c>
      <c r="D519" s="6">
        <v>0</v>
      </c>
      <c r="E519" s="6">
        <v>0</v>
      </c>
      <c r="F519" s="6">
        <v>0</v>
      </c>
      <c r="G519" s="6">
        <v>0</v>
      </c>
      <c r="H519" s="6">
        <v>0</v>
      </c>
      <c r="I519" s="6">
        <v>0</v>
      </c>
      <c r="J519" s="6">
        <v>1</v>
      </c>
      <c r="K519" s="7" t="str">
        <f t="shared" si="19"/>
        <v>1B</v>
      </c>
      <c r="L519" t="b">
        <f t="shared" si="20"/>
        <v>0</v>
      </c>
    </row>
    <row r="520" spans="1:12" x14ac:dyDescent="0.2">
      <c r="A520" t="s">
        <v>676</v>
      </c>
      <c r="B520" s="6">
        <v>0</v>
      </c>
      <c r="C520" s="6">
        <v>0</v>
      </c>
      <c r="D520" s="6">
        <v>8</v>
      </c>
      <c r="E520" s="6">
        <v>2</v>
      </c>
      <c r="F520" s="6">
        <v>0</v>
      </c>
      <c r="G520" s="6">
        <v>5</v>
      </c>
      <c r="H520" s="6">
        <v>0</v>
      </c>
      <c r="I520" s="6">
        <v>3</v>
      </c>
      <c r="J520" s="6">
        <v>42</v>
      </c>
      <c r="K520" s="7" t="str">
        <f t="shared" si="19"/>
        <v>DH</v>
      </c>
      <c r="L520" t="b">
        <f t="shared" si="20"/>
        <v>0</v>
      </c>
    </row>
    <row r="521" spans="1:12" x14ac:dyDescent="0.2">
      <c r="A521" t="s">
        <v>275</v>
      </c>
      <c r="B521" s="6">
        <v>0</v>
      </c>
      <c r="C521" s="6">
        <v>0</v>
      </c>
      <c r="D521" s="6">
        <v>0</v>
      </c>
      <c r="E521" s="6">
        <v>0</v>
      </c>
      <c r="F521" s="6">
        <v>0</v>
      </c>
      <c r="G521" s="6">
        <v>23</v>
      </c>
      <c r="H521" s="6">
        <v>9</v>
      </c>
      <c r="I521" s="6">
        <v>2</v>
      </c>
      <c r="J521" s="6">
        <v>0</v>
      </c>
      <c r="K521" s="7" t="str">
        <f t="shared" si="19"/>
        <v>LF</v>
      </c>
      <c r="L521" t="b">
        <f t="shared" si="20"/>
        <v>0</v>
      </c>
    </row>
    <row r="522" spans="1:12" x14ac:dyDescent="0.2">
      <c r="A522" t="s">
        <v>424</v>
      </c>
      <c r="B522" s="6">
        <v>0</v>
      </c>
      <c r="C522" s="6">
        <v>0</v>
      </c>
      <c r="D522" s="6">
        <v>0</v>
      </c>
      <c r="E522" s="6">
        <v>0</v>
      </c>
      <c r="F522" s="6">
        <v>0</v>
      </c>
      <c r="G522" s="6">
        <v>0</v>
      </c>
      <c r="H522" s="6">
        <v>28</v>
      </c>
      <c r="I522" s="6">
        <v>0</v>
      </c>
      <c r="J522" s="6">
        <v>0</v>
      </c>
      <c r="K522" s="7" t="str">
        <f t="shared" si="19"/>
        <v>CF</v>
      </c>
      <c r="L522" t="b">
        <f t="shared" si="20"/>
        <v>0</v>
      </c>
    </row>
    <row r="523" spans="1:12" x14ac:dyDescent="0.2">
      <c r="A523" t="s">
        <v>159</v>
      </c>
      <c r="B523" s="6">
        <v>0</v>
      </c>
      <c r="C523" s="6">
        <v>0</v>
      </c>
      <c r="D523" s="6">
        <v>0</v>
      </c>
      <c r="E523" s="6">
        <v>0</v>
      </c>
      <c r="F523" s="6">
        <v>0</v>
      </c>
      <c r="G523" s="6">
        <v>14</v>
      </c>
      <c r="H523" s="6">
        <v>1</v>
      </c>
      <c r="I523" s="6">
        <v>29</v>
      </c>
      <c r="J523" s="6">
        <v>1</v>
      </c>
      <c r="K523" s="7" t="str">
        <f t="shared" si="19"/>
        <v>RF</v>
      </c>
      <c r="L523" t="b">
        <f t="shared" si="20"/>
        <v>0</v>
      </c>
    </row>
    <row r="524" spans="1:12" x14ac:dyDescent="0.2">
      <c r="A524" t="s">
        <v>98</v>
      </c>
      <c r="B524" s="6">
        <v>0</v>
      </c>
      <c r="C524" s="6">
        <v>0</v>
      </c>
      <c r="D524" s="6">
        <v>0</v>
      </c>
      <c r="E524" s="6">
        <v>0</v>
      </c>
      <c r="F524" s="6">
        <v>0</v>
      </c>
      <c r="G524" s="6">
        <v>14</v>
      </c>
      <c r="H524" s="6">
        <v>48</v>
      </c>
      <c r="I524" s="6">
        <v>24</v>
      </c>
      <c r="J524" s="6">
        <v>3</v>
      </c>
      <c r="K524" s="7" t="str">
        <f t="shared" si="19"/>
        <v>CF</v>
      </c>
      <c r="L524" t="b">
        <f t="shared" si="20"/>
        <v>0</v>
      </c>
    </row>
    <row r="525" spans="1:12" x14ac:dyDescent="0.2">
      <c r="A525" t="s">
        <v>429</v>
      </c>
      <c r="B525" s="6">
        <v>0</v>
      </c>
      <c r="C525" s="6">
        <v>0</v>
      </c>
      <c r="D525" s="6">
        <v>0</v>
      </c>
      <c r="E525" s="6">
        <v>0</v>
      </c>
      <c r="F525" s="6">
        <v>0</v>
      </c>
      <c r="G525" s="6">
        <v>10</v>
      </c>
      <c r="H525" s="6">
        <v>0</v>
      </c>
      <c r="I525" s="6">
        <v>5</v>
      </c>
      <c r="J525" s="6">
        <v>10</v>
      </c>
      <c r="K525" s="7" t="str">
        <f t="shared" si="19"/>
        <v>LF</v>
      </c>
      <c r="L525" t="b">
        <f t="shared" si="20"/>
        <v>1</v>
      </c>
    </row>
    <row r="526" spans="1:12" x14ac:dyDescent="0.2">
      <c r="A526" t="s">
        <v>212</v>
      </c>
      <c r="B526" s="6">
        <v>0</v>
      </c>
      <c r="C526" s="6">
        <v>0</v>
      </c>
      <c r="D526" s="6">
        <v>8</v>
      </c>
      <c r="E526" s="6">
        <v>1</v>
      </c>
      <c r="F526" s="6">
        <v>9</v>
      </c>
      <c r="G526" s="6">
        <v>5</v>
      </c>
      <c r="H526" s="6">
        <v>2</v>
      </c>
      <c r="I526" s="6">
        <v>8</v>
      </c>
      <c r="J526" s="6">
        <v>0</v>
      </c>
      <c r="K526" s="7" t="str">
        <f t="shared" si="19"/>
        <v>SS</v>
      </c>
      <c r="L526" t="b">
        <f t="shared" si="20"/>
        <v>0</v>
      </c>
    </row>
    <row r="527" spans="1:12" x14ac:dyDescent="0.2">
      <c r="A527" t="s">
        <v>35</v>
      </c>
      <c r="B527" s="6">
        <v>0</v>
      </c>
      <c r="C527" s="6">
        <v>93</v>
      </c>
      <c r="D527" s="6">
        <v>0</v>
      </c>
      <c r="E527" s="6">
        <v>0</v>
      </c>
      <c r="F527" s="6">
        <v>0</v>
      </c>
      <c r="G527" s="6">
        <v>0</v>
      </c>
      <c r="H527" s="6">
        <v>0</v>
      </c>
      <c r="I527" s="6">
        <v>0</v>
      </c>
      <c r="J527" s="6">
        <v>1</v>
      </c>
      <c r="K527" s="7" t="str">
        <f t="shared" si="19"/>
        <v>1B</v>
      </c>
      <c r="L527" t="b">
        <f t="shared" si="20"/>
        <v>0</v>
      </c>
    </row>
    <row r="528" spans="1:12" x14ac:dyDescent="0.2">
      <c r="A528" t="s">
        <v>194</v>
      </c>
      <c r="B528" s="6">
        <v>56</v>
      </c>
      <c r="C528" s="6">
        <v>1</v>
      </c>
      <c r="D528" s="6">
        <v>0</v>
      </c>
      <c r="E528" s="6">
        <v>0</v>
      </c>
      <c r="F528" s="6">
        <v>0</v>
      </c>
      <c r="G528" s="6">
        <v>0</v>
      </c>
      <c r="H528" s="6">
        <v>0</v>
      </c>
      <c r="I528" s="6">
        <v>0</v>
      </c>
      <c r="J528" s="6">
        <v>1</v>
      </c>
      <c r="K528" s="7" t="str">
        <f t="shared" si="19"/>
        <v>C</v>
      </c>
      <c r="L528" t="b">
        <f t="shared" si="20"/>
        <v>0</v>
      </c>
    </row>
    <row r="529" spans="1:12" x14ac:dyDescent="0.2">
      <c r="A529" t="s">
        <v>397</v>
      </c>
      <c r="B529" s="6">
        <v>0</v>
      </c>
      <c r="C529" s="6">
        <v>0</v>
      </c>
      <c r="D529" s="6">
        <v>4</v>
      </c>
      <c r="E529" s="6">
        <v>2</v>
      </c>
      <c r="F529" s="6">
        <v>0</v>
      </c>
      <c r="G529" s="6">
        <v>14</v>
      </c>
      <c r="H529" s="6">
        <v>1</v>
      </c>
      <c r="I529" s="6">
        <v>0</v>
      </c>
      <c r="J529" s="6">
        <v>3</v>
      </c>
      <c r="K529" s="7" t="str">
        <f t="shared" si="19"/>
        <v>LF</v>
      </c>
      <c r="L529" t="b">
        <f t="shared" si="20"/>
        <v>0</v>
      </c>
    </row>
    <row r="530" spans="1:12" x14ac:dyDescent="0.2">
      <c r="A530" t="s">
        <v>147</v>
      </c>
      <c r="B530" s="6">
        <v>0</v>
      </c>
      <c r="C530" s="6">
        <v>0</v>
      </c>
      <c r="D530" s="6">
        <v>36</v>
      </c>
      <c r="E530" s="6">
        <v>0</v>
      </c>
      <c r="F530" s="6">
        <v>0</v>
      </c>
      <c r="G530" s="6">
        <v>0</v>
      </c>
      <c r="H530" s="6">
        <v>0</v>
      </c>
      <c r="I530" s="6">
        <v>0</v>
      </c>
      <c r="J530" s="6">
        <v>7</v>
      </c>
      <c r="K530" s="7" t="str">
        <f t="shared" si="19"/>
        <v>2B</v>
      </c>
      <c r="L530" t="b">
        <f t="shared" si="20"/>
        <v>0</v>
      </c>
    </row>
    <row r="531" spans="1:12" x14ac:dyDescent="0.2">
      <c r="A531" t="s">
        <v>87</v>
      </c>
      <c r="B531" s="6">
        <v>0</v>
      </c>
      <c r="C531" s="6">
        <v>0</v>
      </c>
      <c r="D531" s="6">
        <v>0</v>
      </c>
      <c r="E531" s="6">
        <v>0</v>
      </c>
      <c r="F531" s="6">
        <v>92</v>
      </c>
      <c r="G531" s="6">
        <v>0</v>
      </c>
      <c r="H531" s="6">
        <v>0</v>
      </c>
      <c r="I531" s="6">
        <v>0</v>
      </c>
      <c r="J531" s="6">
        <v>0</v>
      </c>
      <c r="K531" s="7" t="str">
        <f t="shared" si="19"/>
        <v>SS</v>
      </c>
      <c r="L531" t="b">
        <f t="shared" si="20"/>
        <v>0</v>
      </c>
    </row>
    <row r="532" spans="1:12" x14ac:dyDescent="0.2">
      <c r="A532" t="s">
        <v>410</v>
      </c>
      <c r="B532" s="6">
        <v>0</v>
      </c>
      <c r="C532" s="6">
        <v>0</v>
      </c>
      <c r="D532" s="6">
        <v>0</v>
      </c>
      <c r="E532" s="6">
        <v>0</v>
      </c>
      <c r="F532" s="6">
        <v>0</v>
      </c>
      <c r="G532" s="6">
        <v>19</v>
      </c>
      <c r="H532" s="6">
        <v>22</v>
      </c>
      <c r="I532" s="6">
        <v>1</v>
      </c>
      <c r="J532" s="6">
        <v>1</v>
      </c>
      <c r="K532" s="7" t="str">
        <f t="shared" si="19"/>
        <v>CF</v>
      </c>
      <c r="L532" t="b">
        <f t="shared" si="20"/>
        <v>0</v>
      </c>
    </row>
    <row r="533" spans="1:12" x14ac:dyDescent="0.2">
      <c r="A533" t="s">
        <v>235</v>
      </c>
      <c r="B533" s="6">
        <v>22</v>
      </c>
      <c r="C533" s="6">
        <v>0</v>
      </c>
      <c r="D533" s="6">
        <v>0</v>
      </c>
      <c r="E533" s="6">
        <v>0</v>
      </c>
      <c r="F533" s="6">
        <v>0</v>
      </c>
      <c r="G533" s="6">
        <v>0</v>
      </c>
      <c r="H533" s="6">
        <v>0</v>
      </c>
      <c r="I533" s="6">
        <v>0</v>
      </c>
      <c r="J533" s="6">
        <v>0</v>
      </c>
      <c r="K533" s="7" t="str">
        <f t="shared" si="19"/>
        <v>C</v>
      </c>
      <c r="L533" t="b">
        <f t="shared" si="20"/>
        <v>0</v>
      </c>
    </row>
    <row r="534" spans="1:12" x14ac:dyDescent="0.2">
      <c r="A534" t="s">
        <v>219</v>
      </c>
      <c r="B534" s="6">
        <v>0</v>
      </c>
      <c r="C534" s="6">
        <v>5</v>
      </c>
      <c r="D534" s="6">
        <v>0</v>
      </c>
      <c r="E534" s="6">
        <v>15</v>
      </c>
      <c r="F534" s="6">
        <v>40</v>
      </c>
      <c r="G534" s="6">
        <v>0</v>
      </c>
      <c r="H534" s="6">
        <v>0</v>
      </c>
      <c r="I534" s="6">
        <v>5</v>
      </c>
      <c r="J534" s="6">
        <v>1</v>
      </c>
      <c r="K534" s="7" t="str">
        <f t="shared" si="19"/>
        <v>SS</v>
      </c>
      <c r="L534" t="b">
        <f t="shared" si="20"/>
        <v>0</v>
      </c>
    </row>
    <row r="535" spans="1:12" x14ac:dyDescent="0.2">
      <c r="A535" t="s">
        <v>677</v>
      </c>
      <c r="B535" s="6">
        <v>13</v>
      </c>
      <c r="C535" s="6">
        <v>0</v>
      </c>
      <c r="D535" s="6">
        <v>0</v>
      </c>
      <c r="E535" s="6">
        <v>0</v>
      </c>
      <c r="F535" s="6">
        <v>0</v>
      </c>
      <c r="G535" s="6">
        <v>0</v>
      </c>
      <c r="H535" s="6">
        <v>0</v>
      </c>
      <c r="I535" s="6">
        <v>0</v>
      </c>
      <c r="J535" s="6">
        <v>0</v>
      </c>
      <c r="K535" s="7" t="str">
        <f t="shared" si="19"/>
        <v>C</v>
      </c>
      <c r="L535" t="b">
        <f t="shared" si="20"/>
        <v>0</v>
      </c>
    </row>
    <row r="536" spans="1:12" x14ac:dyDescent="0.2">
      <c r="A536" t="s">
        <v>29</v>
      </c>
      <c r="B536" s="6">
        <v>0</v>
      </c>
      <c r="C536" s="6">
        <v>0</v>
      </c>
      <c r="D536" s="6">
        <v>0</v>
      </c>
      <c r="E536" s="6">
        <v>0</v>
      </c>
      <c r="F536" s="6">
        <v>0</v>
      </c>
      <c r="G536" s="6">
        <v>0</v>
      </c>
      <c r="H536" s="6">
        <v>65</v>
      </c>
      <c r="I536" s="6">
        <v>0</v>
      </c>
      <c r="J536" s="6">
        <v>13</v>
      </c>
      <c r="K536" s="7" t="str">
        <f t="shared" si="19"/>
        <v>CF</v>
      </c>
      <c r="L536" t="b">
        <f t="shared" si="20"/>
        <v>0</v>
      </c>
    </row>
    <row r="537" spans="1:12" x14ac:dyDescent="0.2">
      <c r="A537" t="s">
        <v>153</v>
      </c>
      <c r="B537" s="6">
        <v>0</v>
      </c>
      <c r="C537" s="6">
        <v>0</v>
      </c>
      <c r="D537" s="6">
        <v>0</v>
      </c>
      <c r="E537" s="6">
        <v>0</v>
      </c>
      <c r="F537" s="6">
        <v>0</v>
      </c>
      <c r="G537" s="6">
        <v>28</v>
      </c>
      <c r="H537" s="6">
        <v>15</v>
      </c>
      <c r="I537" s="6">
        <v>0</v>
      </c>
      <c r="J537" s="6">
        <v>2</v>
      </c>
      <c r="K537" s="7" t="str">
        <f t="shared" si="19"/>
        <v>LF</v>
      </c>
      <c r="L537" t="b">
        <f t="shared" si="20"/>
        <v>0</v>
      </c>
    </row>
    <row r="538" spans="1:12" x14ac:dyDescent="0.2">
      <c r="A538" t="s">
        <v>353</v>
      </c>
      <c r="B538" s="6">
        <v>0</v>
      </c>
      <c r="C538" s="6">
        <v>0</v>
      </c>
      <c r="D538" s="6">
        <v>0</v>
      </c>
      <c r="E538" s="6">
        <v>0</v>
      </c>
      <c r="F538" s="6">
        <v>0</v>
      </c>
      <c r="G538" s="6">
        <v>0</v>
      </c>
      <c r="H538" s="6">
        <v>0</v>
      </c>
      <c r="I538" s="6">
        <v>90</v>
      </c>
      <c r="J538" s="6">
        <v>0</v>
      </c>
      <c r="K538" s="7" t="str">
        <f t="shared" si="19"/>
        <v>RF</v>
      </c>
      <c r="L538" t="b">
        <f t="shared" si="20"/>
        <v>0</v>
      </c>
    </row>
    <row r="539" spans="1:12" x14ac:dyDescent="0.2">
      <c r="A539" t="s">
        <v>307</v>
      </c>
      <c r="B539" s="6">
        <v>0</v>
      </c>
      <c r="C539" s="6">
        <v>0</v>
      </c>
      <c r="D539" s="6">
        <v>91</v>
      </c>
      <c r="E539" s="6">
        <v>0</v>
      </c>
      <c r="F539" s="6">
        <v>2</v>
      </c>
      <c r="G539" s="6">
        <v>0</v>
      </c>
      <c r="H539" s="6">
        <v>0</v>
      </c>
      <c r="I539" s="6">
        <v>0</v>
      </c>
      <c r="J539" s="6">
        <v>0</v>
      </c>
      <c r="K539" s="7" t="str">
        <f t="shared" si="19"/>
        <v>2B</v>
      </c>
      <c r="L539" t="b">
        <f t="shared" si="20"/>
        <v>0</v>
      </c>
    </row>
    <row r="540" spans="1:12" x14ac:dyDescent="0.2">
      <c r="A540" t="s">
        <v>62</v>
      </c>
      <c r="B540" s="6">
        <v>0</v>
      </c>
      <c r="C540" s="6">
        <v>0</v>
      </c>
      <c r="D540" s="6">
        <v>0</v>
      </c>
      <c r="E540" s="6">
        <v>0</v>
      </c>
      <c r="F540" s="6">
        <v>92</v>
      </c>
      <c r="G540" s="6">
        <v>0</v>
      </c>
      <c r="H540" s="6">
        <v>0</v>
      </c>
      <c r="I540" s="6">
        <v>0</v>
      </c>
      <c r="J540" s="6">
        <v>1</v>
      </c>
      <c r="K540" s="7" t="str">
        <f t="shared" si="19"/>
        <v>SS</v>
      </c>
      <c r="L540" t="b">
        <f t="shared" si="20"/>
        <v>0</v>
      </c>
    </row>
    <row r="541" spans="1:12" x14ac:dyDescent="0.2">
      <c r="A541" t="s">
        <v>678</v>
      </c>
      <c r="B541" s="6">
        <v>0</v>
      </c>
      <c r="C541" s="6">
        <v>0</v>
      </c>
      <c r="D541" s="6">
        <v>11</v>
      </c>
      <c r="E541" s="6">
        <v>0</v>
      </c>
      <c r="F541" s="6">
        <v>0</v>
      </c>
      <c r="G541" s="6">
        <v>0</v>
      </c>
      <c r="H541" s="6">
        <v>0</v>
      </c>
      <c r="I541" s="6">
        <v>0</v>
      </c>
      <c r="J541" s="6">
        <v>0</v>
      </c>
      <c r="K541" s="7" t="str">
        <f t="shared" si="19"/>
        <v>2B</v>
      </c>
      <c r="L541" t="b">
        <f t="shared" si="20"/>
        <v>0</v>
      </c>
    </row>
    <row r="542" spans="1:12" x14ac:dyDescent="0.2">
      <c r="A542" t="s">
        <v>679</v>
      </c>
      <c r="B542" s="6">
        <v>0</v>
      </c>
      <c r="C542" s="6">
        <v>2</v>
      </c>
      <c r="D542" s="6">
        <v>0</v>
      </c>
      <c r="E542" s="6">
        <v>21</v>
      </c>
      <c r="F542" s="6">
        <v>2</v>
      </c>
      <c r="G542" s="6">
        <v>0</v>
      </c>
      <c r="H542" s="6">
        <v>0</v>
      </c>
      <c r="I542" s="6">
        <v>0</v>
      </c>
      <c r="J542" s="6">
        <v>0</v>
      </c>
      <c r="K542" s="7" t="str">
        <f t="shared" si="19"/>
        <v>3B</v>
      </c>
      <c r="L542" t="b">
        <f t="shared" si="20"/>
        <v>0</v>
      </c>
    </row>
    <row r="543" spans="1:12" x14ac:dyDescent="0.2">
      <c r="A543" t="s">
        <v>680</v>
      </c>
      <c r="B543" s="6">
        <v>0</v>
      </c>
      <c r="C543" s="6">
        <v>0</v>
      </c>
      <c r="D543" s="6">
        <v>0</v>
      </c>
      <c r="E543" s="6">
        <v>0</v>
      </c>
      <c r="F543" s="6">
        <v>0</v>
      </c>
      <c r="G543" s="6">
        <v>4</v>
      </c>
      <c r="H543" s="6">
        <v>0</v>
      </c>
      <c r="I543" s="6">
        <v>24</v>
      </c>
      <c r="J543" s="6">
        <v>0</v>
      </c>
      <c r="K543" s="7" t="str">
        <f t="shared" si="19"/>
        <v>RF</v>
      </c>
      <c r="L543" t="b">
        <f t="shared" si="20"/>
        <v>0</v>
      </c>
    </row>
    <row r="544" spans="1:12" x14ac:dyDescent="0.2">
      <c r="A544" t="s">
        <v>218</v>
      </c>
      <c r="B544" s="6">
        <v>1</v>
      </c>
      <c r="C544" s="6">
        <v>0</v>
      </c>
      <c r="D544" s="6">
        <v>0</v>
      </c>
      <c r="E544" s="6">
        <v>0</v>
      </c>
      <c r="F544" s="6">
        <v>0</v>
      </c>
      <c r="G544" s="6">
        <v>0</v>
      </c>
      <c r="H544" s="6">
        <v>0</v>
      </c>
      <c r="I544" s="6">
        <v>0</v>
      </c>
      <c r="J544" s="6">
        <v>3</v>
      </c>
      <c r="K544" s="7" t="str">
        <f t="shared" si="19"/>
        <v>DH</v>
      </c>
      <c r="L544" t="b">
        <f t="shared" si="20"/>
        <v>0</v>
      </c>
    </row>
    <row r="545" spans="1:12" x14ac:dyDescent="0.2">
      <c r="A545" t="s">
        <v>477</v>
      </c>
      <c r="B545" s="6">
        <v>54</v>
      </c>
      <c r="C545" s="6">
        <v>1</v>
      </c>
      <c r="D545" s="6">
        <v>0</v>
      </c>
      <c r="E545" s="6">
        <v>0</v>
      </c>
      <c r="F545" s="6">
        <v>0</v>
      </c>
      <c r="G545" s="6">
        <v>0</v>
      </c>
      <c r="H545" s="6">
        <v>0</v>
      </c>
      <c r="I545" s="6">
        <v>0</v>
      </c>
      <c r="J545" s="6">
        <v>1</v>
      </c>
      <c r="K545" s="7" t="str">
        <f t="shared" si="19"/>
        <v>C</v>
      </c>
      <c r="L545" t="b">
        <f t="shared" si="20"/>
        <v>0</v>
      </c>
    </row>
    <row r="546" spans="1:12" x14ac:dyDescent="0.2">
      <c r="A546" t="s">
        <v>681</v>
      </c>
      <c r="B546" s="6">
        <v>0</v>
      </c>
      <c r="C546" s="6">
        <v>0</v>
      </c>
      <c r="D546" s="6">
        <v>0</v>
      </c>
      <c r="E546" s="6">
        <v>0</v>
      </c>
      <c r="F546" s="6">
        <v>0</v>
      </c>
      <c r="G546" s="6">
        <v>6</v>
      </c>
      <c r="H546" s="6">
        <v>0</v>
      </c>
      <c r="I546" s="6">
        <v>4</v>
      </c>
      <c r="J546" s="6">
        <v>0</v>
      </c>
      <c r="K546" s="7" t="str">
        <f t="shared" si="19"/>
        <v>LF</v>
      </c>
      <c r="L546" t="b">
        <f t="shared" si="20"/>
        <v>0</v>
      </c>
    </row>
    <row r="547" spans="1:12" x14ac:dyDescent="0.2">
      <c r="A547" t="s">
        <v>474</v>
      </c>
      <c r="B547" s="6">
        <v>0</v>
      </c>
      <c r="C547" s="6">
        <v>52</v>
      </c>
      <c r="D547" s="6">
        <v>26</v>
      </c>
      <c r="E547" s="6">
        <v>4</v>
      </c>
      <c r="F547" s="6">
        <v>2</v>
      </c>
      <c r="G547" s="6">
        <v>2</v>
      </c>
      <c r="H547" s="6">
        <v>0</v>
      </c>
      <c r="I547" s="6">
        <v>0</v>
      </c>
      <c r="J547" s="6">
        <v>3</v>
      </c>
      <c r="K547" s="7" t="str">
        <f t="shared" si="19"/>
        <v>1B</v>
      </c>
      <c r="L547" t="b">
        <f t="shared" si="20"/>
        <v>0</v>
      </c>
    </row>
    <row r="548" spans="1:12" x14ac:dyDescent="0.2">
      <c r="A548" t="s">
        <v>16</v>
      </c>
      <c r="B548" s="6">
        <v>0</v>
      </c>
      <c r="C548" s="6">
        <v>26</v>
      </c>
      <c r="D548" s="6">
        <v>0</v>
      </c>
      <c r="E548" s="6">
        <v>79</v>
      </c>
      <c r="F548" s="6">
        <v>0</v>
      </c>
      <c r="G548" s="6">
        <v>0</v>
      </c>
      <c r="H548" s="6">
        <v>0</v>
      </c>
      <c r="I548" s="6">
        <v>0</v>
      </c>
      <c r="J548" s="6">
        <v>4</v>
      </c>
      <c r="K548" s="7" t="str">
        <f t="shared" si="19"/>
        <v>3B</v>
      </c>
      <c r="L548" t="b">
        <f t="shared" si="20"/>
        <v>0</v>
      </c>
    </row>
    <row r="549" spans="1:12" x14ac:dyDescent="0.2">
      <c r="A549" t="s">
        <v>356</v>
      </c>
      <c r="B549" s="6">
        <v>0</v>
      </c>
      <c r="C549" s="6">
        <v>0</v>
      </c>
      <c r="D549" s="6">
        <v>0</v>
      </c>
      <c r="E549" s="6">
        <v>0</v>
      </c>
      <c r="F549" s="6">
        <v>0</v>
      </c>
      <c r="G549" s="6">
        <v>0</v>
      </c>
      <c r="H549" s="6">
        <v>80</v>
      </c>
      <c r="I549" s="6">
        <v>0</v>
      </c>
      <c r="J549" s="6">
        <v>1</v>
      </c>
      <c r="K549" s="7" t="str">
        <f t="shared" si="19"/>
        <v>CF</v>
      </c>
      <c r="L549" t="b">
        <f t="shared" si="20"/>
        <v>0</v>
      </c>
    </row>
    <row r="550" spans="1:12" x14ac:dyDescent="0.2">
      <c r="A550" t="s">
        <v>196</v>
      </c>
      <c r="B550" s="6">
        <v>0</v>
      </c>
      <c r="C550" s="6">
        <v>38</v>
      </c>
      <c r="D550" s="6">
        <v>0</v>
      </c>
      <c r="E550" s="6">
        <v>5</v>
      </c>
      <c r="F550" s="6">
        <v>0</v>
      </c>
      <c r="G550" s="6">
        <v>0</v>
      </c>
      <c r="H550" s="6">
        <v>0</v>
      </c>
      <c r="I550" s="6">
        <v>0</v>
      </c>
      <c r="J550" s="6">
        <v>3</v>
      </c>
      <c r="K550" s="7" t="str">
        <f t="shared" si="19"/>
        <v>1B</v>
      </c>
      <c r="L550" t="b">
        <f t="shared" si="20"/>
        <v>0</v>
      </c>
    </row>
    <row r="551" spans="1:12" x14ac:dyDescent="0.2">
      <c r="A551" t="s">
        <v>682</v>
      </c>
      <c r="B551" s="6">
        <v>55</v>
      </c>
      <c r="C551" s="6">
        <v>0</v>
      </c>
      <c r="D551" s="6">
        <v>0</v>
      </c>
      <c r="E551" s="6">
        <v>0</v>
      </c>
      <c r="F551" s="6">
        <v>0</v>
      </c>
      <c r="G551" s="6">
        <v>0</v>
      </c>
      <c r="H551" s="6">
        <v>0</v>
      </c>
      <c r="I551" s="6">
        <v>0</v>
      </c>
      <c r="J551" s="6">
        <v>4</v>
      </c>
      <c r="K551" s="7" t="str">
        <f t="shared" si="19"/>
        <v>C</v>
      </c>
      <c r="L551" t="b">
        <f t="shared" si="20"/>
        <v>0</v>
      </c>
    </row>
    <row r="552" spans="1:12" x14ac:dyDescent="0.2">
      <c r="A552" t="s">
        <v>683</v>
      </c>
      <c r="B552" s="6">
        <v>0</v>
      </c>
      <c r="C552" s="6">
        <v>0</v>
      </c>
      <c r="D552" s="6">
        <v>0</v>
      </c>
      <c r="E552" s="6">
        <v>0</v>
      </c>
      <c r="F552" s="6">
        <v>0</v>
      </c>
      <c r="G552" s="6">
        <v>13</v>
      </c>
      <c r="H552" s="6">
        <v>0</v>
      </c>
      <c r="I552" s="6">
        <v>1</v>
      </c>
      <c r="J552" s="6">
        <v>7</v>
      </c>
      <c r="K552" s="7" t="str">
        <f t="shared" si="19"/>
        <v>LF</v>
      </c>
      <c r="L552" t="b">
        <f t="shared" si="20"/>
        <v>0</v>
      </c>
    </row>
    <row r="553" spans="1:12" x14ac:dyDescent="0.2">
      <c r="A553" t="s">
        <v>59</v>
      </c>
      <c r="B553" s="6">
        <v>0</v>
      </c>
      <c r="C553" s="6">
        <v>60</v>
      </c>
      <c r="D553" s="6">
        <v>0</v>
      </c>
      <c r="E553" s="6">
        <v>3</v>
      </c>
      <c r="F553" s="6">
        <v>0</v>
      </c>
      <c r="G553" s="6">
        <v>0</v>
      </c>
      <c r="H553" s="6">
        <v>0</v>
      </c>
      <c r="I553" s="6">
        <v>0</v>
      </c>
      <c r="J553" s="6">
        <v>8</v>
      </c>
      <c r="K553" s="7" t="str">
        <f t="shared" si="19"/>
        <v>1B</v>
      </c>
      <c r="L553" t="b">
        <f t="shared" si="20"/>
        <v>0</v>
      </c>
    </row>
    <row r="554" spans="1:12" x14ac:dyDescent="0.2">
      <c r="A554" t="s">
        <v>125</v>
      </c>
      <c r="B554" s="6">
        <v>0</v>
      </c>
      <c r="C554" s="6">
        <v>0</v>
      </c>
      <c r="D554" s="6">
        <v>0</v>
      </c>
      <c r="E554" s="6">
        <v>0</v>
      </c>
      <c r="F554" s="6">
        <v>0</v>
      </c>
      <c r="G554" s="6">
        <v>7</v>
      </c>
      <c r="H554" s="6">
        <v>64</v>
      </c>
      <c r="I554" s="6">
        <v>18</v>
      </c>
      <c r="J554" s="6">
        <v>1</v>
      </c>
      <c r="K554" s="7" t="str">
        <f t="shared" si="19"/>
        <v>CF</v>
      </c>
      <c r="L554" t="b">
        <f t="shared" si="20"/>
        <v>0</v>
      </c>
    </row>
    <row r="555" spans="1:12" x14ac:dyDescent="0.2">
      <c r="A555" t="s">
        <v>108</v>
      </c>
      <c r="B555" s="6">
        <v>0</v>
      </c>
      <c r="C555" s="6">
        <v>12</v>
      </c>
      <c r="D555" s="6">
        <v>4</v>
      </c>
      <c r="E555" s="6">
        <v>0</v>
      </c>
      <c r="F555" s="6">
        <v>0</v>
      </c>
      <c r="G555" s="6">
        <v>11</v>
      </c>
      <c r="H555" s="6">
        <v>0</v>
      </c>
      <c r="I555" s="6">
        <v>25</v>
      </c>
      <c r="J555" s="6">
        <v>1</v>
      </c>
      <c r="K555" s="7" t="str">
        <f t="shared" si="19"/>
        <v>RF</v>
      </c>
      <c r="L555" t="b">
        <f t="shared" si="20"/>
        <v>0</v>
      </c>
    </row>
    <row r="556" spans="1:12" x14ac:dyDescent="0.2">
      <c r="A556" t="s">
        <v>405</v>
      </c>
      <c r="B556" s="6">
        <v>0</v>
      </c>
      <c r="C556" s="6">
        <v>0</v>
      </c>
      <c r="D556" s="6">
        <v>27</v>
      </c>
      <c r="E556" s="6">
        <v>34</v>
      </c>
      <c r="F556" s="6">
        <v>0</v>
      </c>
      <c r="G556" s="6">
        <v>0</v>
      </c>
      <c r="H556" s="6">
        <v>0</v>
      </c>
      <c r="I556" s="6">
        <v>0</v>
      </c>
      <c r="J556" s="6">
        <v>3</v>
      </c>
      <c r="K556" s="7" t="str">
        <f t="shared" si="19"/>
        <v>3B</v>
      </c>
      <c r="L556" t="b">
        <f t="shared" si="20"/>
        <v>0</v>
      </c>
    </row>
    <row r="557" spans="1:12" x14ac:dyDescent="0.2">
      <c r="A557" t="s">
        <v>221</v>
      </c>
      <c r="B557" s="6">
        <v>0</v>
      </c>
      <c r="C557" s="6">
        <v>0</v>
      </c>
      <c r="D557" s="6">
        <v>0</v>
      </c>
      <c r="E557" s="6">
        <v>0</v>
      </c>
      <c r="F557" s="6">
        <v>45</v>
      </c>
      <c r="G557" s="6">
        <v>0</v>
      </c>
      <c r="H557" s="6">
        <v>0</v>
      </c>
      <c r="I557" s="6">
        <v>0</v>
      </c>
      <c r="J557" s="6">
        <v>0</v>
      </c>
      <c r="K557" s="7" t="str">
        <f t="shared" si="19"/>
        <v>SS</v>
      </c>
      <c r="L557" t="b">
        <f t="shared" si="20"/>
        <v>0</v>
      </c>
    </row>
    <row r="558" spans="1:12" x14ac:dyDescent="0.2">
      <c r="A558" t="s">
        <v>684</v>
      </c>
      <c r="B558" s="6">
        <v>0</v>
      </c>
      <c r="C558" s="6">
        <v>1</v>
      </c>
      <c r="D558" s="6">
        <v>0</v>
      </c>
      <c r="E558" s="6">
        <v>0</v>
      </c>
      <c r="F558" s="6">
        <v>0</v>
      </c>
      <c r="G558" s="6">
        <v>9</v>
      </c>
      <c r="H558" s="6">
        <v>0</v>
      </c>
      <c r="I558" s="6">
        <v>2</v>
      </c>
      <c r="J558" s="6">
        <v>0</v>
      </c>
      <c r="K558" s="7" t="str">
        <f t="shared" si="19"/>
        <v>LF</v>
      </c>
      <c r="L558" t="b">
        <f t="shared" si="20"/>
        <v>0</v>
      </c>
    </row>
    <row r="559" spans="1:12" x14ac:dyDescent="0.2">
      <c r="A559" t="s">
        <v>215</v>
      </c>
      <c r="B559" s="6">
        <v>0</v>
      </c>
      <c r="C559" s="6">
        <v>7</v>
      </c>
      <c r="D559" s="6">
        <v>0</v>
      </c>
      <c r="E559" s="6">
        <v>4</v>
      </c>
      <c r="F559" s="6">
        <v>0</v>
      </c>
      <c r="G559" s="6">
        <v>2</v>
      </c>
      <c r="H559" s="6">
        <v>0</v>
      </c>
      <c r="I559" s="6">
        <v>1</v>
      </c>
      <c r="J559" s="6">
        <v>4</v>
      </c>
      <c r="K559" s="7" t="str">
        <f t="shared" si="19"/>
        <v>1B</v>
      </c>
      <c r="L559" t="b">
        <f t="shared" si="20"/>
        <v>0</v>
      </c>
    </row>
    <row r="560" spans="1:12" x14ac:dyDescent="0.2">
      <c r="A560" t="s">
        <v>685</v>
      </c>
      <c r="B560" s="6">
        <v>0</v>
      </c>
      <c r="C560" s="6">
        <v>0</v>
      </c>
      <c r="D560" s="6">
        <v>4</v>
      </c>
      <c r="E560" s="6">
        <v>2</v>
      </c>
      <c r="F560" s="6">
        <v>0</v>
      </c>
      <c r="G560" s="6">
        <v>0</v>
      </c>
      <c r="H560" s="6">
        <v>0</v>
      </c>
      <c r="I560" s="6">
        <v>0</v>
      </c>
      <c r="J560" s="6">
        <v>10</v>
      </c>
      <c r="K560" s="7" t="str">
        <f t="shared" si="19"/>
        <v>DH</v>
      </c>
      <c r="L560" t="b">
        <f t="shared" si="20"/>
        <v>0</v>
      </c>
    </row>
    <row r="561" spans="1:12" x14ac:dyDescent="0.2">
      <c r="A561" t="s">
        <v>262</v>
      </c>
      <c r="B561" s="6">
        <v>0</v>
      </c>
      <c r="C561" s="6">
        <v>0</v>
      </c>
      <c r="D561" s="6">
        <v>0</v>
      </c>
      <c r="E561" s="6">
        <v>0</v>
      </c>
      <c r="F561" s="6">
        <v>0</v>
      </c>
      <c r="G561" s="6">
        <v>16</v>
      </c>
      <c r="H561" s="6">
        <v>31</v>
      </c>
      <c r="I561" s="6">
        <v>0</v>
      </c>
      <c r="J561" s="6">
        <v>1</v>
      </c>
      <c r="K561" s="7" t="str">
        <f t="shared" si="19"/>
        <v>CF</v>
      </c>
      <c r="L561" t="b">
        <f t="shared" si="20"/>
        <v>0</v>
      </c>
    </row>
    <row r="562" spans="1:12" x14ac:dyDescent="0.2">
      <c r="A562" t="s">
        <v>19</v>
      </c>
      <c r="B562" s="6">
        <v>0</v>
      </c>
      <c r="C562" s="6">
        <v>94</v>
      </c>
      <c r="D562" s="6">
        <v>0</v>
      </c>
      <c r="E562" s="6">
        <v>0</v>
      </c>
      <c r="F562" s="6">
        <v>0</v>
      </c>
      <c r="G562" s="6">
        <v>0</v>
      </c>
      <c r="H562" s="6">
        <v>0</v>
      </c>
      <c r="I562" s="6">
        <v>0</v>
      </c>
      <c r="J562" s="6">
        <v>2</v>
      </c>
      <c r="K562" s="7" t="str">
        <f t="shared" si="19"/>
        <v>1B</v>
      </c>
      <c r="L562" t="b">
        <f t="shared" si="20"/>
        <v>0</v>
      </c>
    </row>
    <row r="563" spans="1:12" x14ac:dyDescent="0.2">
      <c r="A563" t="s">
        <v>12</v>
      </c>
      <c r="B563" s="6">
        <v>0</v>
      </c>
      <c r="C563" s="6">
        <v>0</v>
      </c>
      <c r="D563" s="6">
        <v>0</v>
      </c>
      <c r="E563" s="6">
        <v>0</v>
      </c>
      <c r="F563" s="6">
        <v>0</v>
      </c>
      <c r="G563" s="6">
        <v>0</v>
      </c>
      <c r="H563" s="6">
        <v>0</v>
      </c>
      <c r="I563" s="6">
        <v>90</v>
      </c>
      <c r="J563" s="6">
        <v>3</v>
      </c>
      <c r="K563" s="7" t="str">
        <f t="shared" si="19"/>
        <v>RF</v>
      </c>
      <c r="L563" t="b">
        <f t="shared" si="20"/>
        <v>0</v>
      </c>
    </row>
    <row r="564" spans="1:12" x14ac:dyDescent="0.2">
      <c r="A564" t="s">
        <v>395</v>
      </c>
      <c r="B564" s="6">
        <v>0</v>
      </c>
      <c r="C564" s="6">
        <v>0</v>
      </c>
      <c r="D564" s="6">
        <v>0</v>
      </c>
      <c r="E564" s="6">
        <v>0</v>
      </c>
      <c r="F564" s="6">
        <v>0</v>
      </c>
      <c r="G564" s="6">
        <v>0</v>
      </c>
      <c r="H564" s="6">
        <v>0</v>
      </c>
      <c r="I564" s="6">
        <v>33</v>
      </c>
      <c r="J564" s="6">
        <v>0</v>
      </c>
      <c r="K564" s="7" t="str">
        <f t="shared" si="19"/>
        <v>RF</v>
      </c>
      <c r="L564" t="b">
        <f t="shared" si="20"/>
        <v>0</v>
      </c>
    </row>
    <row r="565" spans="1:12" x14ac:dyDescent="0.2">
      <c r="A565" t="s">
        <v>506</v>
      </c>
      <c r="B565" s="6">
        <v>0</v>
      </c>
      <c r="C565" s="6">
        <v>0</v>
      </c>
      <c r="D565" s="6">
        <v>0</v>
      </c>
      <c r="E565" s="6">
        <v>0</v>
      </c>
      <c r="F565" s="6">
        <v>75</v>
      </c>
      <c r="G565" s="6">
        <v>0</v>
      </c>
      <c r="H565" s="6">
        <v>0</v>
      </c>
      <c r="I565" s="6">
        <v>0</v>
      </c>
      <c r="J565" s="6">
        <v>0</v>
      </c>
      <c r="K565" s="7" t="str">
        <f t="shared" si="19"/>
        <v>SS</v>
      </c>
      <c r="L565" t="b">
        <f t="shared" si="20"/>
        <v>0</v>
      </c>
    </row>
    <row r="566" spans="1:12" x14ac:dyDescent="0.2">
      <c r="A566" t="s">
        <v>686</v>
      </c>
      <c r="B566" s="6">
        <v>0</v>
      </c>
      <c r="C566" s="6">
        <v>0</v>
      </c>
      <c r="D566" s="6">
        <v>9</v>
      </c>
      <c r="E566" s="6">
        <v>12</v>
      </c>
      <c r="F566" s="6">
        <v>0</v>
      </c>
      <c r="G566" s="6">
        <v>0</v>
      </c>
      <c r="H566" s="6">
        <v>0</v>
      </c>
      <c r="I566" s="6">
        <v>0</v>
      </c>
      <c r="J566" s="6">
        <v>7</v>
      </c>
      <c r="K566" s="7" t="str">
        <f t="shared" si="19"/>
        <v>3B</v>
      </c>
      <c r="L566" t="b">
        <f t="shared" si="20"/>
        <v>0</v>
      </c>
    </row>
    <row r="567" spans="1:12" x14ac:dyDescent="0.2">
      <c r="A567" t="s">
        <v>417</v>
      </c>
      <c r="B567" s="6">
        <v>0</v>
      </c>
      <c r="C567" s="6">
        <v>3</v>
      </c>
      <c r="D567" s="6">
        <v>0</v>
      </c>
      <c r="E567" s="6">
        <v>0</v>
      </c>
      <c r="F567" s="6">
        <v>0</v>
      </c>
      <c r="G567" s="6">
        <v>15</v>
      </c>
      <c r="H567" s="6">
        <v>0</v>
      </c>
      <c r="I567" s="6">
        <v>0</v>
      </c>
      <c r="J567" s="6">
        <v>1</v>
      </c>
      <c r="K567" s="7" t="str">
        <f t="shared" ref="K567:K596" si="21">INDEX($B$1:$J$1, MATCH(MAX(B567:J567), B567:J567, 0))</f>
        <v>LF</v>
      </c>
      <c r="L567" t="b">
        <f t="shared" ref="L567:L596" si="22">COUNTIF(B567:J567, MAX(B567:J567)) &gt; 1</f>
        <v>0</v>
      </c>
    </row>
    <row r="568" spans="1:12" x14ac:dyDescent="0.2">
      <c r="A568" t="s">
        <v>111</v>
      </c>
      <c r="B568" s="6">
        <v>0</v>
      </c>
      <c r="C568" s="6">
        <v>0</v>
      </c>
      <c r="D568" s="6">
        <v>0</v>
      </c>
      <c r="E568" s="6">
        <v>0</v>
      </c>
      <c r="F568" s="6">
        <v>0</v>
      </c>
      <c r="G568" s="6">
        <v>80</v>
      </c>
      <c r="H568" s="6">
        <v>0</v>
      </c>
      <c r="I568" s="6">
        <v>0</v>
      </c>
      <c r="J568" s="6">
        <v>16</v>
      </c>
      <c r="K568" s="7" t="str">
        <f t="shared" si="21"/>
        <v>LF</v>
      </c>
      <c r="L568" t="b">
        <f t="shared" si="22"/>
        <v>0</v>
      </c>
    </row>
    <row r="569" spans="1:12" x14ac:dyDescent="0.2">
      <c r="A569" t="s">
        <v>446</v>
      </c>
      <c r="B569" s="6">
        <v>0</v>
      </c>
      <c r="C569" s="6">
        <v>0</v>
      </c>
      <c r="D569" s="6">
        <v>0</v>
      </c>
      <c r="E569" s="6">
        <v>0</v>
      </c>
      <c r="F569" s="6">
        <v>0</v>
      </c>
      <c r="G569" s="6">
        <v>0</v>
      </c>
      <c r="H569" s="6">
        <v>7</v>
      </c>
      <c r="I569" s="6">
        <v>16</v>
      </c>
      <c r="J569" s="6">
        <v>0</v>
      </c>
      <c r="K569" s="7" t="str">
        <f t="shared" si="21"/>
        <v>RF</v>
      </c>
      <c r="L569" t="b">
        <f t="shared" si="22"/>
        <v>0</v>
      </c>
    </row>
    <row r="570" spans="1:12" x14ac:dyDescent="0.2">
      <c r="A570" t="s">
        <v>375</v>
      </c>
      <c r="B570" s="6">
        <v>66</v>
      </c>
      <c r="C570" s="6">
        <v>0</v>
      </c>
      <c r="D570" s="6">
        <v>0</v>
      </c>
      <c r="E570" s="6">
        <v>0</v>
      </c>
      <c r="F570" s="6">
        <v>0</v>
      </c>
      <c r="G570" s="6">
        <v>0</v>
      </c>
      <c r="H570" s="6">
        <v>0</v>
      </c>
      <c r="I570" s="6">
        <v>0</v>
      </c>
      <c r="J570" s="6">
        <v>0</v>
      </c>
      <c r="K570" s="7" t="str">
        <f t="shared" si="21"/>
        <v>C</v>
      </c>
      <c r="L570" t="b">
        <f t="shared" si="22"/>
        <v>0</v>
      </c>
    </row>
    <row r="571" spans="1:12" x14ac:dyDescent="0.2">
      <c r="A571" t="s">
        <v>687</v>
      </c>
      <c r="B571" s="6">
        <v>0</v>
      </c>
      <c r="C571" s="6">
        <v>2</v>
      </c>
      <c r="D571" s="6">
        <v>1</v>
      </c>
      <c r="E571" s="6">
        <v>0</v>
      </c>
      <c r="F571" s="6">
        <v>0</v>
      </c>
      <c r="G571" s="6">
        <v>0</v>
      </c>
      <c r="H571" s="6">
        <v>0</v>
      </c>
      <c r="I571" s="6">
        <v>0</v>
      </c>
      <c r="J571" s="6">
        <v>0</v>
      </c>
      <c r="K571" s="7" t="str">
        <f t="shared" si="21"/>
        <v>1B</v>
      </c>
      <c r="L571" t="b">
        <f t="shared" si="22"/>
        <v>0</v>
      </c>
    </row>
    <row r="572" spans="1:12" x14ac:dyDescent="0.2">
      <c r="A572" t="s">
        <v>313</v>
      </c>
      <c r="B572" s="6">
        <v>0</v>
      </c>
      <c r="C572" s="6">
        <v>0</v>
      </c>
      <c r="D572" s="6">
        <v>88</v>
      </c>
      <c r="E572" s="6">
        <v>0</v>
      </c>
      <c r="F572" s="6">
        <v>3</v>
      </c>
      <c r="G572" s="6">
        <v>0</v>
      </c>
      <c r="H572" s="6">
        <v>0</v>
      </c>
      <c r="I572" s="6">
        <v>0</v>
      </c>
      <c r="J572" s="6">
        <v>0</v>
      </c>
      <c r="K572" s="7" t="str">
        <f t="shared" si="21"/>
        <v>2B</v>
      </c>
      <c r="L572" t="b">
        <f t="shared" si="22"/>
        <v>0</v>
      </c>
    </row>
    <row r="573" spans="1:12" x14ac:dyDescent="0.2">
      <c r="A573" t="s">
        <v>217</v>
      </c>
      <c r="B573" s="6">
        <v>0</v>
      </c>
      <c r="C573" s="6">
        <v>3</v>
      </c>
      <c r="D573" s="6">
        <v>0</v>
      </c>
      <c r="E573" s="6">
        <v>7</v>
      </c>
      <c r="F573" s="6">
        <v>2</v>
      </c>
      <c r="G573" s="6">
        <v>1</v>
      </c>
      <c r="H573" s="6">
        <v>0</v>
      </c>
      <c r="I573" s="6">
        <v>0</v>
      </c>
      <c r="J573" s="6">
        <v>2</v>
      </c>
      <c r="K573" s="7" t="str">
        <f t="shared" si="21"/>
        <v>3B</v>
      </c>
      <c r="L573" t="b">
        <f t="shared" si="22"/>
        <v>0</v>
      </c>
    </row>
    <row r="574" spans="1:12" x14ac:dyDescent="0.2">
      <c r="A574" t="s">
        <v>155</v>
      </c>
      <c r="B574" s="6">
        <v>0</v>
      </c>
      <c r="C574" s="6">
        <v>0</v>
      </c>
      <c r="D574" s="6">
        <v>0</v>
      </c>
      <c r="E574" s="6">
        <v>0</v>
      </c>
      <c r="F574" s="6">
        <v>0</v>
      </c>
      <c r="G574" s="6">
        <v>16</v>
      </c>
      <c r="H574" s="6">
        <v>10</v>
      </c>
      <c r="I574" s="6">
        <v>25</v>
      </c>
      <c r="J574" s="6">
        <v>2</v>
      </c>
      <c r="K574" s="7" t="str">
        <f t="shared" si="21"/>
        <v>RF</v>
      </c>
      <c r="L574" t="b">
        <f t="shared" si="22"/>
        <v>0</v>
      </c>
    </row>
    <row r="575" spans="1:12" x14ac:dyDescent="0.2">
      <c r="A575" t="s">
        <v>188</v>
      </c>
      <c r="B575" s="6">
        <v>0</v>
      </c>
      <c r="C575" s="6">
        <v>0</v>
      </c>
      <c r="D575" s="6">
        <v>0</v>
      </c>
      <c r="E575" s="6">
        <v>0</v>
      </c>
      <c r="F575" s="6">
        <v>0</v>
      </c>
      <c r="G575" s="6">
        <v>0</v>
      </c>
      <c r="H575" s="6">
        <v>11</v>
      </c>
      <c r="I575" s="6">
        <v>14</v>
      </c>
      <c r="J575" s="6">
        <v>3</v>
      </c>
      <c r="K575" s="7" t="str">
        <f t="shared" si="21"/>
        <v>RF</v>
      </c>
      <c r="L575" t="b">
        <f t="shared" si="22"/>
        <v>0</v>
      </c>
    </row>
    <row r="576" spans="1:12" x14ac:dyDescent="0.2">
      <c r="A576" t="s">
        <v>205</v>
      </c>
      <c r="B576" s="6">
        <v>0</v>
      </c>
      <c r="C576" s="6">
        <v>0</v>
      </c>
      <c r="D576" s="6">
        <v>9</v>
      </c>
      <c r="E576" s="6">
        <v>0</v>
      </c>
      <c r="F576" s="6">
        <v>27</v>
      </c>
      <c r="G576" s="6">
        <v>0</v>
      </c>
      <c r="H576" s="6">
        <v>0</v>
      </c>
      <c r="I576" s="6">
        <v>0</v>
      </c>
      <c r="J576" s="6">
        <v>0</v>
      </c>
      <c r="K576" s="7" t="str">
        <f t="shared" si="21"/>
        <v>SS</v>
      </c>
      <c r="L576" t="b">
        <f t="shared" si="22"/>
        <v>0</v>
      </c>
    </row>
    <row r="577" spans="1:12" x14ac:dyDescent="0.2">
      <c r="A577" t="s">
        <v>688</v>
      </c>
      <c r="B577" s="6">
        <v>0</v>
      </c>
      <c r="C577" s="6">
        <v>0</v>
      </c>
      <c r="D577" s="6">
        <v>2</v>
      </c>
      <c r="E577" s="6">
        <v>0</v>
      </c>
      <c r="F577" s="6">
        <v>8</v>
      </c>
      <c r="G577" s="6">
        <v>0</v>
      </c>
      <c r="H577" s="6">
        <v>0</v>
      </c>
      <c r="I577" s="6">
        <v>0</v>
      </c>
      <c r="J577" s="6">
        <v>2</v>
      </c>
      <c r="K577" s="7" t="str">
        <f t="shared" si="21"/>
        <v>SS</v>
      </c>
      <c r="L577" t="b">
        <f t="shared" si="22"/>
        <v>0</v>
      </c>
    </row>
    <row r="578" spans="1:12" x14ac:dyDescent="0.2">
      <c r="A578" t="s">
        <v>689</v>
      </c>
      <c r="B578" s="6">
        <v>0</v>
      </c>
      <c r="C578" s="6">
        <v>0</v>
      </c>
      <c r="D578" s="6">
        <v>1</v>
      </c>
      <c r="E578" s="6">
        <v>0</v>
      </c>
      <c r="F578" s="6">
        <v>0</v>
      </c>
      <c r="G578" s="6">
        <v>1</v>
      </c>
      <c r="H578" s="6">
        <v>0</v>
      </c>
      <c r="I578" s="6">
        <v>0</v>
      </c>
      <c r="J578" s="6">
        <v>0</v>
      </c>
      <c r="K578" s="7" t="str">
        <f t="shared" si="21"/>
        <v>2B</v>
      </c>
      <c r="L578" t="b">
        <f t="shared" si="22"/>
        <v>1</v>
      </c>
    </row>
    <row r="579" spans="1:12" x14ac:dyDescent="0.2">
      <c r="A579" t="s">
        <v>192</v>
      </c>
      <c r="B579" s="6">
        <v>0</v>
      </c>
      <c r="C579" s="6">
        <v>0</v>
      </c>
      <c r="D579" s="6">
        <v>48</v>
      </c>
      <c r="E579" s="6">
        <v>6</v>
      </c>
      <c r="F579" s="6">
        <v>15</v>
      </c>
      <c r="G579" s="6">
        <v>0</v>
      </c>
      <c r="H579" s="6">
        <v>0</v>
      </c>
      <c r="I579" s="6">
        <v>0</v>
      </c>
      <c r="J579" s="6">
        <v>1</v>
      </c>
      <c r="K579" s="7" t="str">
        <f t="shared" si="21"/>
        <v>2B</v>
      </c>
      <c r="L579" t="b">
        <f t="shared" si="22"/>
        <v>0</v>
      </c>
    </row>
    <row r="580" spans="1:12" x14ac:dyDescent="0.2">
      <c r="A580" t="s">
        <v>143</v>
      </c>
      <c r="B580" s="6">
        <v>0</v>
      </c>
      <c r="C580" s="6">
        <v>0</v>
      </c>
      <c r="D580" s="6">
        <v>0</v>
      </c>
      <c r="E580" s="6">
        <v>0</v>
      </c>
      <c r="F580" s="6">
        <v>56</v>
      </c>
      <c r="G580" s="6">
        <v>0</v>
      </c>
      <c r="H580" s="6">
        <v>0</v>
      </c>
      <c r="I580" s="6">
        <v>0</v>
      </c>
      <c r="J580" s="6">
        <v>0</v>
      </c>
      <c r="K580" s="7" t="str">
        <f t="shared" si="21"/>
        <v>SS</v>
      </c>
      <c r="L580" t="b">
        <f t="shared" si="22"/>
        <v>0</v>
      </c>
    </row>
    <row r="581" spans="1:12" x14ac:dyDescent="0.2">
      <c r="A581" t="s">
        <v>211</v>
      </c>
      <c r="B581" s="6">
        <v>0</v>
      </c>
      <c r="C581" s="6">
        <v>0</v>
      </c>
      <c r="D581" s="6">
        <v>0</v>
      </c>
      <c r="E581" s="6">
        <v>20</v>
      </c>
      <c r="F581" s="6">
        <v>0</v>
      </c>
      <c r="G581" s="6">
        <v>2</v>
      </c>
      <c r="H581" s="6">
        <v>0</v>
      </c>
      <c r="I581" s="6">
        <v>4</v>
      </c>
      <c r="J581" s="6">
        <v>1</v>
      </c>
      <c r="K581" s="7" t="str">
        <f t="shared" si="21"/>
        <v>3B</v>
      </c>
      <c r="L581" t="b">
        <f t="shared" si="22"/>
        <v>0</v>
      </c>
    </row>
    <row r="582" spans="1:12" x14ac:dyDescent="0.2">
      <c r="A582" t="s">
        <v>260</v>
      </c>
      <c r="B582" s="6">
        <v>0</v>
      </c>
      <c r="C582" s="6">
        <v>0</v>
      </c>
      <c r="D582" s="6">
        <v>0</v>
      </c>
      <c r="E582" s="6">
        <v>2</v>
      </c>
      <c r="F582" s="6">
        <v>0</v>
      </c>
      <c r="G582" s="6">
        <v>0</v>
      </c>
      <c r="H582" s="6">
        <v>0</v>
      </c>
      <c r="I582" s="6">
        <v>0</v>
      </c>
      <c r="J582" s="6">
        <v>0</v>
      </c>
      <c r="K582" s="7" t="str">
        <f t="shared" si="21"/>
        <v>3B</v>
      </c>
      <c r="L582" t="b">
        <f t="shared" si="22"/>
        <v>0</v>
      </c>
    </row>
    <row r="583" spans="1:12" x14ac:dyDescent="0.2">
      <c r="A583" t="s">
        <v>140</v>
      </c>
      <c r="B583" s="6">
        <v>0</v>
      </c>
      <c r="C583" s="6">
        <v>0</v>
      </c>
      <c r="D583" s="6">
        <v>0</v>
      </c>
      <c r="E583" s="6">
        <v>0</v>
      </c>
      <c r="F583" s="6">
        <v>86</v>
      </c>
      <c r="G583" s="6">
        <v>0</v>
      </c>
      <c r="H583" s="6">
        <v>0</v>
      </c>
      <c r="I583" s="6">
        <v>0</v>
      </c>
      <c r="J583" s="6">
        <v>0</v>
      </c>
      <c r="K583" s="7" t="str">
        <f t="shared" si="21"/>
        <v>SS</v>
      </c>
      <c r="L583" t="b">
        <f t="shared" si="22"/>
        <v>0</v>
      </c>
    </row>
    <row r="584" spans="1:12" x14ac:dyDescent="0.2">
      <c r="A584" t="s">
        <v>246</v>
      </c>
      <c r="B584" s="6">
        <v>0</v>
      </c>
      <c r="C584" s="6">
        <v>4</v>
      </c>
      <c r="D584" s="6">
        <v>0</v>
      </c>
      <c r="E584" s="6">
        <v>9</v>
      </c>
      <c r="F584" s="6">
        <v>0</v>
      </c>
      <c r="G584" s="6">
        <v>0</v>
      </c>
      <c r="H584" s="6">
        <v>0</v>
      </c>
      <c r="I584" s="6">
        <v>0</v>
      </c>
      <c r="J584" s="6">
        <v>1</v>
      </c>
      <c r="K584" s="7" t="str">
        <f t="shared" si="21"/>
        <v>3B</v>
      </c>
      <c r="L584" t="b">
        <f t="shared" si="22"/>
        <v>0</v>
      </c>
    </row>
    <row r="585" spans="1:12" x14ac:dyDescent="0.2">
      <c r="A585" t="s">
        <v>42</v>
      </c>
      <c r="B585" s="6">
        <v>0</v>
      </c>
      <c r="C585" s="6">
        <v>0</v>
      </c>
      <c r="D585" s="6">
        <v>0</v>
      </c>
      <c r="E585" s="6">
        <v>0</v>
      </c>
      <c r="F585" s="6">
        <v>89</v>
      </c>
      <c r="G585" s="6">
        <v>0</v>
      </c>
      <c r="H585" s="6">
        <v>0</v>
      </c>
      <c r="I585" s="6">
        <v>0</v>
      </c>
      <c r="J585" s="6">
        <v>2</v>
      </c>
      <c r="K585" s="7" t="str">
        <f t="shared" si="21"/>
        <v>SS</v>
      </c>
      <c r="L585" t="b">
        <f t="shared" si="22"/>
        <v>0</v>
      </c>
    </row>
    <row r="586" spans="1:12" x14ac:dyDescent="0.2">
      <c r="A586" t="s">
        <v>224</v>
      </c>
      <c r="B586" s="6">
        <v>37</v>
      </c>
      <c r="C586" s="6">
        <v>0</v>
      </c>
      <c r="D586" s="6">
        <v>0</v>
      </c>
      <c r="E586" s="6">
        <v>0</v>
      </c>
      <c r="F586" s="6">
        <v>0</v>
      </c>
      <c r="G586" s="6">
        <v>0</v>
      </c>
      <c r="H586" s="6">
        <v>0</v>
      </c>
      <c r="I586" s="6">
        <v>0</v>
      </c>
      <c r="J586" s="6">
        <v>3</v>
      </c>
      <c r="K586" s="7" t="str">
        <f t="shared" si="21"/>
        <v>C</v>
      </c>
      <c r="L586" t="b">
        <f t="shared" si="22"/>
        <v>0</v>
      </c>
    </row>
    <row r="587" spans="1:12" x14ac:dyDescent="0.2">
      <c r="A587" t="s">
        <v>279</v>
      </c>
      <c r="B587" s="6">
        <v>0</v>
      </c>
      <c r="C587" s="6">
        <v>0</v>
      </c>
      <c r="D587" s="6">
        <v>0</v>
      </c>
      <c r="E587" s="6">
        <v>0</v>
      </c>
      <c r="F587" s="6">
        <v>0</v>
      </c>
      <c r="G587" s="6">
        <v>16</v>
      </c>
      <c r="H587" s="6">
        <v>0</v>
      </c>
      <c r="I587" s="6">
        <v>69</v>
      </c>
      <c r="J587" s="6">
        <v>19</v>
      </c>
      <c r="K587" s="7" t="str">
        <f t="shared" si="21"/>
        <v>RF</v>
      </c>
      <c r="L587" t="b">
        <f t="shared" si="22"/>
        <v>0</v>
      </c>
    </row>
    <row r="588" spans="1:12" x14ac:dyDescent="0.2">
      <c r="A588" t="s">
        <v>433</v>
      </c>
      <c r="B588" s="6">
        <v>0</v>
      </c>
      <c r="C588" s="6">
        <v>0</v>
      </c>
      <c r="D588" s="6">
        <v>2</v>
      </c>
      <c r="E588" s="6">
        <v>10</v>
      </c>
      <c r="F588" s="6">
        <v>0</v>
      </c>
      <c r="G588" s="6">
        <v>0</v>
      </c>
      <c r="H588" s="6">
        <v>0</v>
      </c>
      <c r="I588" s="6">
        <v>0</v>
      </c>
      <c r="J588" s="6">
        <v>2</v>
      </c>
      <c r="K588" s="7" t="str">
        <f t="shared" si="21"/>
        <v>3B</v>
      </c>
      <c r="L588" t="b">
        <f t="shared" si="22"/>
        <v>0</v>
      </c>
    </row>
    <row r="589" spans="1:12" x14ac:dyDescent="0.2">
      <c r="A589" t="s">
        <v>273</v>
      </c>
      <c r="B589" s="6">
        <v>20</v>
      </c>
      <c r="C589" s="6">
        <v>0</v>
      </c>
      <c r="D589" s="6">
        <v>0</v>
      </c>
      <c r="E589" s="6">
        <v>0</v>
      </c>
      <c r="F589" s="6">
        <v>0</v>
      </c>
      <c r="G589" s="6">
        <v>0</v>
      </c>
      <c r="H589" s="6">
        <v>0</v>
      </c>
      <c r="I589" s="6">
        <v>0</v>
      </c>
      <c r="J589" s="6">
        <v>0</v>
      </c>
      <c r="K589" s="7" t="str">
        <f t="shared" si="21"/>
        <v>C</v>
      </c>
      <c r="L589" t="b">
        <f t="shared" si="22"/>
        <v>0</v>
      </c>
    </row>
    <row r="590" spans="1:12" x14ac:dyDescent="0.2">
      <c r="A590" t="s">
        <v>371</v>
      </c>
      <c r="B590" s="6">
        <v>0</v>
      </c>
      <c r="C590" s="6">
        <v>0</v>
      </c>
      <c r="D590" s="6">
        <v>0</v>
      </c>
      <c r="E590" s="6">
        <v>0</v>
      </c>
      <c r="F590" s="6">
        <v>0</v>
      </c>
      <c r="G590" s="6">
        <v>46</v>
      </c>
      <c r="H590" s="6">
        <v>1</v>
      </c>
      <c r="I590" s="6">
        <v>36</v>
      </c>
      <c r="J590" s="6">
        <v>1</v>
      </c>
      <c r="K590" s="7" t="str">
        <f t="shared" si="21"/>
        <v>LF</v>
      </c>
      <c r="L590" t="b">
        <f t="shared" si="22"/>
        <v>0</v>
      </c>
    </row>
    <row r="591" spans="1:12" x14ac:dyDescent="0.2">
      <c r="A591" t="s">
        <v>369</v>
      </c>
      <c r="B591" s="6">
        <v>0</v>
      </c>
      <c r="C591" s="6">
        <v>0</v>
      </c>
      <c r="D591" s="6">
        <v>0</v>
      </c>
      <c r="E591" s="6">
        <v>0</v>
      </c>
      <c r="F591" s="6">
        <v>0</v>
      </c>
      <c r="G591" s="6">
        <v>2</v>
      </c>
      <c r="H591" s="6">
        <v>0</v>
      </c>
      <c r="I591" s="6">
        <v>0</v>
      </c>
      <c r="J591" s="6">
        <v>59</v>
      </c>
      <c r="K591" s="7" t="str">
        <f t="shared" si="21"/>
        <v>DH</v>
      </c>
      <c r="L591" t="b">
        <f t="shared" si="22"/>
        <v>0</v>
      </c>
    </row>
    <row r="592" spans="1:12" x14ac:dyDescent="0.2">
      <c r="A592" t="s">
        <v>231</v>
      </c>
      <c r="B592" s="6">
        <v>0</v>
      </c>
      <c r="C592" s="6">
        <v>3</v>
      </c>
      <c r="D592" s="6">
        <v>0</v>
      </c>
      <c r="E592" s="6">
        <v>19</v>
      </c>
      <c r="F592" s="6">
        <v>0</v>
      </c>
      <c r="G592" s="6">
        <v>2</v>
      </c>
      <c r="H592" s="6">
        <v>0</v>
      </c>
      <c r="I592" s="6">
        <v>6</v>
      </c>
      <c r="J592" s="6">
        <v>1</v>
      </c>
      <c r="K592" s="7" t="str">
        <f t="shared" si="21"/>
        <v>3B</v>
      </c>
      <c r="L592" t="b">
        <f t="shared" si="22"/>
        <v>0</v>
      </c>
    </row>
    <row r="593" spans="1:12" x14ac:dyDescent="0.2">
      <c r="A593" t="s">
        <v>406</v>
      </c>
      <c r="B593" s="6">
        <v>0</v>
      </c>
      <c r="C593" s="6">
        <v>0</v>
      </c>
      <c r="D593" s="6">
        <v>0</v>
      </c>
      <c r="E593" s="6">
        <v>0</v>
      </c>
      <c r="F593" s="6">
        <v>0</v>
      </c>
      <c r="G593" s="6">
        <v>7</v>
      </c>
      <c r="H593" s="6">
        <v>0</v>
      </c>
      <c r="I593" s="6">
        <v>0</v>
      </c>
      <c r="J593" s="6">
        <v>42</v>
      </c>
      <c r="K593" s="7" t="str">
        <f t="shared" si="21"/>
        <v>DH</v>
      </c>
      <c r="L593" t="b">
        <f t="shared" si="22"/>
        <v>0</v>
      </c>
    </row>
    <row r="594" spans="1:12" x14ac:dyDescent="0.2">
      <c r="A594" t="s">
        <v>328</v>
      </c>
      <c r="B594" s="6">
        <v>0</v>
      </c>
      <c r="C594" s="6">
        <v>0</v>
      </c>
      <c r="D594" s="6">
        <v>94</v>
      </c>
      <c r="E594" s="6">
        <v>0</v>
      </c>
      <c r="F594" s="6">
        <v>3</v>
      </c>
      <c r="G594" s="6">
        <v>0</v>
      </c>
      <c r="H594" s="6">
        <v>0</v>
      </c>
      <c r="I594" s="6">
        <v>0</v>
      </c>
      <c r="J594" s="6">
        <v>0</v>
      </c>
      <c r="K594" s="7" t="str">
        <f t="shared" si="21"/>
        <v>2B</v>
      </c>
      <c r="L594" t="b">
        <f t="shared" si="22"/>
        <v>0</v>
      </c>
    </row>
    <row r="595" spans="1:12" x14ac:dyDescent="0.2">
      <c r="A595" t="s">
        <v>89</v>
      </c>
      <c r="B595" s="6">
        <v>0</v>
      </c>
      <c r="C595" s="6">
        <v>0</v>
      </c>
      <c r="D595" s="6">
        <v>0</v>
      </c>
      <c r="E595" s="6">
        <v>0</v>
      </c>
      <c r="F595" s="6">
        <v>0</v>
      </c>
      <c r="G595" s="6">
        <v>0</v>
      </c>
      <c r="H595" s="6">
        <v>83</v>
      </c>
      <c r="I595" s="6">
        <v>0</v>
      </c>
      <c r="J595" s="6">
        <v>0</v>
      </c>
      <c r="K595" s="7" t="str">
        <f t="shared" si="21"/>
        <v>CF</v>
      </c>
      <c r="L595" t="b">
        <f t="shared" si="22"/>
        <v>0</v>
      </c>
    </row>
    <row r="596" spans="1:12" x14ac:dyDescent="0.2">
      <c r="A596" t="s">
        <v>377</v>
      </c>
      <c r="B596" s="6">
        <v>0</v>
      </c>
      <c r="C596" s="6">
        <v>36</v>
      </c>
      <c r="D596" s="6">
        <v>0</v>
      </c>
      <c r="E596" s="6">
        <v>0</v>
      </c>
      <c r="F596" s="6">
        <v>0</v>
      </c>
      <c r="G596" s="6">
        <v>6</v>
      </c>
      <c r="H596" s="6">
        <v>0</v>
      </c>
      <c r="I596" s="6">
        <v>1</v>
      </c>
      <c r="J596" s="6">
        <v>7</v>
      </c>
      <c r="K596" s="7" t="str">
        <f t="shared" si="21"/>
        <v>1B</v>
      </c>
      <c r="L596" t="b">
        <f t="shared" si="22"/>
        <v>0</v>
      </c>
    </row>
  </sheetData>
  <autoFilter ref="A1:L1" xr:uid="{F194238B-72EA-284A-88CA-CA5A4349851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6CDFC-EBA4-1843-8226-E9C11FC98159}">
  <dimension ref="A1:C657"/>
  <sheetViews>
    <sheetView workbookViewId="0">
      <selection activeCell="B8" sqref="B8"/>
    </sheetView>
  </sheetViews>
  <sheetFormatPr baseColWidth="10" defaultRowHeight="16" x14ac:dyDescent="0.2"/>
  <cols>
    <col min="1" max="1" width="10.83203125" style="8"/>
    <col min="2" max="2" width="20.1640625" style="8" bestFit="1" customWidth="1"/>
    <col min="3" max="16384" width="10.83203125" style="8"/>
  </cols>
  <sheetData>
    <row r="1" spans="1:3" x14ac:dyDescent="0.2">
      <c r="A1" s="3" t="s">
        <v>2133</v>
      </c>
      <c r="B1" s="3" t="s">
        <v>514</v>
      </c>
      <c r="C1" s="3" t="s">
        <v>1</v>
      </c>
    </row>
    <row r="2" spans="1:3" x14ac:dyDescent="0.2">
      <c r="A2" s="12">
        <v>1</v>
      </c>
      <c r="B2" s="8" t="s">
        <v>279</v>
      </c>
      <c r="C2" s="8" t="s">
        <v>2195</v>
      </c>
    </row>
    <row r="3" spans="1:3" x14ac:dyDescent="0.2">
      <c r="A3" s="12">
        <v>2</v>
      </c>
      <c r="B3" s="8" t="s">
        <v>277</v>
      </c>
      <c r="C3" s="8" t="s">
        <v>2196</v>
      </c>
    </row>
    <row r="4" spans="1:3" x14ac:dyDescent="0.2">
      <c r="A4" s="12">
        <v>3</v>
      </c>
      <c r="B4" s="8" t="s">
        <v>283</v>
      </c>
      <c r="C4" s="8" t="s">
        <v>2197</v>
      </c>
    </row>
    <row r="5" spans="1:3" x14ac:dyDescent="0.2">
      <c r="A5" s="12">
        <v>4</v>
      </c>
      <c r="B5" s="8" t="s">
        <v>278</v>
      </c>
      <c r="C5" s="8" t="s">
        <v>2198</v>
      </c>
    </row>
    <row r="6" spans="1:3" x14ac:dyDescent="0.2">
      <c r="A6" s="12">
        <v>5</v>
      </c>
      <c r="B6" s="8" t="s">
        <v>12</v>
      </c>
      <c r="C6" s="8" t="s">
        <v>2199</v>
      </c>
    </row>
    <row r="7" spans="1:3" x14ac:dyDescent="0.2">
      <c r="A7" s="12">
        <v>6</v>
      </c>
      <c r="B7" s="8" t="s">
        <v>286</v>
      </c>
      <c r="C7" s="8" t="s">
        <v>2200</v>
      </c>
    </row>
    <row r="8" spans="1:3" x14ac:dyDescent="0.2">
      <c r="A8" s="12">
        <v>7</v>
      </c>
      <c r="B8" s="8" t="s">
        <v>282</v>
      </c>
      <c r="C8" s="8" t="s">
        <v>2201</v>
      </c>
    </row>
    <row r="9" spans="1:3" x14ac:dyDescent="0.2">
      <c r="A9" s="12">
        <v>8</v>
      </c>
      <c r="B9" s="8" t="s">
        <v>276</v>
      </c>
      <c r="C9" s="8" t="s">
        <v>2202</v>
      </c>
    </row>
    <row r="10" spans="1:3" x14ac:dyDescent="0.2">
      <c r="A10" s="12">
        <v>9</v>
      </c>
      <c r="B10" s="8" t="s">
        <v>463</v>
      </c>
      <c r="C10" s="8" t="s">
        <v>2203</v>
      </c>
    </row>
    <row r="11" spans="1:3" x14ac:dyDescent="0.2">
      <c r="A11" s="12">
        <v>10</v>
      </c>
      <c r="B11" s="8" t="s">
        <v>307</v>
      </c>
      <c r="C11" s="8" t="s">
        <v>2204</v>
      </c>
    </row>
    <row r="12" spans="1:3" x14ac:dyDescent="0.2">
      <c r="A12" s="12">
        <v>11</v>
      </c>
      <c r="B12" s="8" t="s">
        <v>7</v>
      </c>
      <c r="C12" s="8" t="s">
        <v>2205</v>
      </c>
    </row>
    <row r="13" spans="1:3" x14ac:dyDescent="0.2">
      <c r="A13" s="12">
        <v>12</v>
      </c>
      <c r="B13" s="8" t="s">
        <v>16</v>
      </c>
      <c r="C13" s="8" t="s">
        <v>2206</v>
      </c>
    </row>
    <row r="14" spans="1:3" x14ac:dyDescent="0.2">
      <c r="A14" s="12">
        <v>13</v>
      </c>
      <c r="B14" s="8" t="s">
        <v>288</v>
      </c>
      <c r="C14" s="8" t="s">
        <v>2195</v>
      </c>
    </row>
    <row r="15" spans="1:3" x14ac:dyDescent="0.2">
      <c r="A15" s="12">
        <v>14</v>
      </c>
      <c r="B15" s="8" t="s">
        <v>280</v>
      </c>
      <c r="C15" s="8" t="s">
        <v>2207</v>
      </c>
    </row>
    <row r="16" spans="1:3" x14ac:dyDescent="0.2">
      <c r="A16" s="12">
        <v>15</v>
      </c>
      <c r="B16" s="8" t="s">
        <v>23</v>
      </c>
      <c r="C16" s="8" t="s">
        <v>2208</v>
      </c>
    </row>
    <row r="17" spans="1:3" x14ac:dyDescent="0.2">
      <c r="A17" s="12">
        <v>16</v>
      </c>
      <c r="B17" s="8" t="s">
        <v>287</v>
      </c>
      <c r="C17" s="8" t="s">
        <v>2202</v>
      </c>
    </row>
    <row r="18" spans="1:3" x14ac:dyDescent="0.2">
      <c r="A18" s="12">
        <v>17</v>
      </c>
      <c r="B18" s="8" t="s">
        <v>42</v>
      </c>
      <c r="C18" s="8" t="s">
        <v>2209</v>
      </c>
    </row>
    <row r="19" spans="1:3" x14ac:dyDescent="0.2">
      <c r="A19" s="12">
        <v>18</v>
      </c>
      <c r="B19" s="8" t="s">
        <v>21</v>
      </c>
      <c r="C19" s="8" t="s">
        <v>2210</v>
      </c>
    </row>
    <row r="20" spans="1:3" x14ac:dyDescent="0.2">
      <c r="A20" s="12">
        <v>19</v>
      </c>
      <c r="B20" s="8" t="s">
        <v>71</v>
      </c>
      <c r="C20" s="8" t="s">
        <v>2211</v>
      </c>
    </row>
    <row r="21" spans="1:3" x14ac:dyDescent="0.2">
      <c r="A21" s="12">
        <v>20</v>
      </c>
      <c r="B21" s="8" t="s">
        <v>14</v>
      </c>
      <c r="C21" s="8" t="s">
        <v>2212</v>
      </c>
    </row>
    <row r="22" spans="1:3" x14ac:dyDescent="0.2">
      <c r="A22" s="12">
        <v>21</v>
      </c>
      <c r="B22" s="8" t="s">
        <v>30</v>
      </c>
      <c r="C22" s="8" t="s">
        <v>2201</v>
      </c>
    </row>
    <row r="23" spans="1:3" x14ac:dyDescent="0.2">
      <c r="A23" s="12">
        <v>22</v>
      </c>
      <c r="B23" s="8" t="s">
        <v>52</v>
      </c>
      <c r="C23" s="8" t="s">
        <v>2213</v>
      </c>
    </row>
    <row r="24" spans="1:3" x14ac:dyDescent="0.2">
      <c r="A24" s="12">
        <v>23</v>
      </c>
      <c r="B24" s="8" t="s">
        <v>284</v>
      </c>
      <c r="C24" s="8" t="s">
        <v>2203</v>
      </c>
    </row>
    <row r="25" spans="1:3" x14ac:dyDescent="0.2">
      <c r="A25" s="12">
        <v>24</v>
      </c>
      <c r="B25" s="8" t="s">
        <v>8</v>
      </c>
      <c r="C25" s="8" t="s">
        <v>2214</v>
      </c>
    </row>
    <row r="26" spans="1:3" x14ac:dyDescent="0.2">
      <c r="A26" s="12">
        <v>25</v>
      </c>
      <c r="B26" s="8" t="s">
        <v>315</v>
      </c>
      <c r="C26" s="8" t="s">
        <v>2215</v>
      </c>
    </row>
    <row r="27" spans="1:3" x14ac:dyDescent="0.2">
      <c r="A27" s="12">
        <v>26</v>
      </c>
      <c r="B27" s="8" t="s">
        <v>308</v>
      </c>
      <c r="C27" s="8" t="s">
        <v>2205</v>
      </c>
    </row>
    <row r="28" spans="1:3" x14ac:dyDescent="0.2">
      <c r="A28" s="12">
        <v>27</v>
      </c>
      <c r="B28" s="8" t="s">
        <v>299</v>
      </c>
      <c r="C28" s="8" t="s">
        <v>2201</v>
      </c>
    </row>
    <row r="29" spans="1:3" x14ac:dyDescent="0.2">
      <c r="A29" s="12">
        <v>28</v>
      </c>
      <c r="B29" s="8" t="s">
        <v>20</v>
      </c>
      <c r="C29" s="8" t="s">
        <v>2216</v>
      </c>
    </row>
    <row r="30" spans="1:3" x14ac:dyDescent="0.2">
      <c r="A30" s="12">
        <v>29</v>
      </c>
      <c r="B30" s="8" t="s">
        <v>292</v>
      </c>
      <c r="C30" s="8" t="s">
        <v>2204</v>
      </c>
    </row>
    <row r="31" spans="1:3" x14ac:dyDescent="0.2">
      <c r="A31" s="12">
        <v>30</v>
      </c>
      <c r="B31" s="8" t="s">
        <v>300</v>
      </c>
      <c r="C31" s="8" t="s">
        <v>2199</v>
      </c>
    </row>
    <row r="32" spans="1:3" x14ac:dyDescent="0.2">
      <c r="A32" s="12">
        <v>31</v>
      </c>
      <c r="B32" s="8" t="s">
        <v>344</v>
      </c>
      <c r="C32" s="8" t="s">
        <v>2217</v>
      </c>
    </row>
    <row r="33" spans="1:3" x14ac:dyDescent="0.2">
      <c r="A33" s="12">
        <v>32</v>
      </c>
      <c r="B33" s="8" t="s">
        <v>555</v>
      </c>
      <c r="C33" s="8" t="s">
        <v>2205</v>
      </c>
    </row>
    <row r="34" spans="1:3" x14ac:dyDescent="0.2">
      <c r="A34" s="12">
        <v>33</v>
      </c>
      <c r="B34" s="8" t="s">
        <v>10</v>
      </c>
      <c r="C34" s="8" t="s">
        <v>2218</v>
      </c>
    </row>
    <row r="35" spans="1:3" x14ac:dyDescent="0.2">
      <c r="A35" s="12">
        <v>34</v>
      </c>
      <c r="B35" s="8" t="s">
        <v>581</v>
      </c>
      <c r="C35" s="8" t="s">
        <v>2199</v>
      </c>
    </row>
    <row r="36" spans="1:3" x14ac:dyDescent="0.2">
      <c r="A36" s="12">
        <v>35</v>
      </c>
      <c r="B36" s="8" t="s">
        <v>285</v>
      </c>
      <c r="C36" s="8" t="s">
        <v>2219</v>
      </c>
    </row>
    <row r="37" spans="1:3" x14ac:dyDescent="0.2">
      <c r="A37" s="12">
        <v>36</v>
      </c>
      <c r="B37" s="8" t="s">
        <v>325</v>
      </c>
      <c r="C37" s="8" t="s">
        <v>2198</v>
      </c>
    </row>
    <row r="38" spans="1:3" x14ac:dyDescent="0.2">
      <c r="A38" s="12">
        <v>37</v>
      </c>
      <c r="B38" s="8" t="s">
        <v>29</v>
      </c>
      <c r="C38" s="8" t="s">
        <v>2210</v>
      </c>
    </row>
    <row r="39" spans="1:3" x14ac:dyDescent="0.2">
      <c r="A39" s="12">
        <v>38</v>
      </c>
      <c r="B39" s="8" t="s">
        <v>460</v>
      </c>
      <c r="C39" s="8" t="s">
        <v>2215</v>
      </c>
    </row>
    <row r="40" spans="1:3" x14ac:dyDescent="0.2">
      <c r="A40" s="12">
        <v>39</v>
      </c>
      <c r="B40" s="8" t="s">
        <v>479</v>
      </c>
      <c r="C40" s="8" t="s">
        <v>2211</v>
      </c>
    </row>
    <row r="41" spans="1:3" x14ac:dyDescent="0.2">
      <c r="A41" s="12">
        <v>40</v>
      </c>
      <c r="B41" s="8" t="s">
        <v>19</v>
      </c>
      <c r="C41" s="8" t="s">
        <v>2196</v>
      </c>
    </row>
    <row r="42" spans="1:3" x14ac:dyDescent="0.2">
      <c r="A42" s="12">
        <v>41</v>
      </c>
      <c r="B42" s="8" t="s">
        <v>293</v>
      </c>
      <c r="C42" s="8" t="s">
        <v>2212</v>
      </c>
    </row>
    <row r="43" spans="1:3" x14ac:dyDescent="0.2">
      <c r="A43" s="12">
        <v>42</v>
      </c>
      <c r="B43" s="8" t="s">
        <v>13</v>
      </c>
      <c r="C43" s="8" t="s">
        <v>2220</v>
      </c>
    </row>
    <row r="44" spans="1:3" x14ac:dyDescent="0.2">
      <c r="A44" s="12">
        <v>43</v>
      </c>
      <c r="B44" s="8" t="s">
        <v>461</v>
      </c>
      <c r="C44" s="8" t="s">
        <v>2197</v>
      </c>
    </row>
    <row r="45" spans="1:3" x14ac:dyDescent="0.2">
      <c r="A45" s="12">
        <v>44</v>
      </c>
      <c r="B45" s="8" t="s">
        <v>314</v>
      </c>
      <c r="C45" s="8" t="s">
        <v>2217</v>
      </c>
    </row>
    <row r="46" spans="1:3" x14ac:dyDescent="0.2">
      <c r="A46" s="12">
        <v>45</v>
      </c>
      <c r="B46" s="8" t="s">
        <v>291</v>
      </c>
      <c r="C46" s="8" t="s">
        <v>2221</v>
      </c>
    </row>
    <row r="47" spans="1:3" x14ac:dyDescent="0.2">
      <c r="A47" s="12">
        <v>46</v>
      </c>
      <c r="B47" s="8" t="s">
        <v>464</v>
      </c>
      <c r="C47" s="8" t="s">
        <v>2207</v>
      </c>
    </row>
    <row r="48" spans="1:3" x14ac:dyDescent="0.2">
      <c r="A48" s="12">
        <v>47</v>
      </c>
      <c r="B48" s="8" t="s">
        <v>36</v>
      </c>
      <c r="C48" s="8" t="s">
        <v>2197</v>
      </c>
    </row>
    <row r="49" spans="1:3" x14ac:dyDescent="0.2">
      <c r="A49" s="12">
        <v>48</v>
      </c>
      <c r="B49" s="8" t="s">
        <v>462</v>
      </c>
      <c r="C49" s="8" t="s">
        <v>2208</v>
      </c>
    </row>
    <row r="50" spans="1:3" x14ac:dyDescent="0.2">
      <c r="A50" s="12">
        <v>49</v>
      </c>
      <c r="B50" s="8" t="s">
        <v>17</v>
      </c>
      <c r="C50" s="8" t="s">
        <v>2200</v>
      </c>
    </row>
    <row r="51" spans="1:3" x14ac:dyDescent="0.2">
      <c r="A51" s="12">
        <v>50</v>
      </c>
      <c r="B51" s="8" t="s">
        <v>313</v>
      </c>
      <c r="C51" s="8" t="s">
        <v>2199</v>
      </c>
    </row>
    <row r="52" spans="1:3" x14ac:dyDescent="0.2">
      <c r="A52" s="12">
        <v>51</v>
      </c>
      <c r="B52" s="8" t="s">
        <v>27</v>
      </c>
      <c r="C52" s="8" t="s">
        <v>2217</v>
      </c>
    </row>
    <row r="53" spans="1:3" x14ac:dyDescent="0.2">
      <c r="A53" s="12">
        <v>52</v>
      </c>
      <c r="B53" s="8" t="s">
        <v>570</v>
      </c>
      <c r="C53" s="8" t="s">
        <v>2195</v>
      </c>
    </row>
    <row r="54" spans="1:3" x14ac:dyDescent="0.2">
      <c r="A54" s="12">
        <v>53</v>
      </c>
      <c r="B54" s="8" t="s">
        <v>324</v>
      </c>
      <c r="C54" s="8" t="s">
        <v>2197</v>
      </c>
    </row>
    <row r="55" spans="1:3" x14ac:dyDescent="0.2">
      <c r="A55" s="12">
        <v>54</v>
      </c>
      <c r="B55" s="8" t="s">
        <v>124</v>
      </c>
      <c r="C55" s="8" t="s">
        <v>2222</v>
      </c>
    </row>
    <row r="56" spans="1:3" x14ac:dyDescent="0.2">
      <c r="A56" s="12">
        <v>55</v>
      </c>
      <c r="B56" s="8" t="s">
        <v>301</v>
      </c>
      <c r="C56" s="8" t="s">
        <v>2202</v>
      </c>
    </row>
    <row r="57" spans="1:3" x14ac:dyDescent="0.2">
      <c r="A57" s="12">
        <v>56</v>
      </c>
      <c r="B57" s="8" t="s">
        <v>281</v>
      </c>
      <c r="C57" s="8" t="s">
        <v>2206</v>
      </c>
    </row>
    <row r="58" spans="1:3" x14ac:dyDescent="0.2">
      <c r="A58" s="12">
        <v>57</v>
      </c>
      <c r="B58" s="8" t="s">
        <v>656</v>
      </c>
      <c r="C58" s="8" t="s">
        <v>2214</v>
      </c>
    </row>
    <row r="59" spans="1:3" x14ac:dyDescent="0.2">
      <c r="A59" s="12">
        <v>58</v>
      </c>
      <c r="B59" s="8" t="s">
        <v>547</v>
      </c>
      <c r="C59" s="8" t="s">
        <v>2198</v>
      </c>
    </row>
    <row r="60" spans="1:3" x14ac:dyDescent="0.2">
      <c r="A60" s="12">
        <v>59</v>
      </c>
      <c r="B60" s="8" t="s">
        <v>111</v>
      </c>
      <c r="C60" s="8" t="s">
        <v>2212</v>
      </c>
    </row>
    <row r="61" spans="1:3" x14ac:dyDescent="0.2">
      <c r="A61" s="12">
        <v>60</v>
      </c>
      <c r="B61" s="8" t="s">
        <v>327</v>
      </c>
      <c r="C61" s="8" t="s">
        <v>2219</v>
      </c>
    </row>
    <row r="62" spans="1:3" x14ac:dyDescent="0.2">
      <c r="A62" s="12">
        <v>61</v>
      </c>
      <c r="B62" s="8" t="s">
        <v>295</v>
      </c>
      <c r="C62" s="8" t="s">
        <v>2203</v>
      </c>
    </row>
    <row r="63" spans="1:3" x14ac:dyDescent="0.2">
      <c r="A63" s="12">
        <v>62</v>
      </c>
      <c r="B63" s="8" t="s">
        <v>326</v>
      </c>
      <c r="C63" s="8" t="s">
        <v>2216</v>
      </c>
    </row>
    <row r="64" spans="1:3" x14ac:dyDescent="0.2">
      <c r="A64" s="12">
        <v>63</v>
      </c>
      <c r="B64" s="8" t="s">
        <v>25</v>
      </c>
      <c r="C64" s="8" t="s">
        <v>2222</v>
      </c>
    </row>
    <row r="65" spans="1:3" x14ac:dyDescent="0.2">
      <c r="A65" s="12">
        <v>64</v>
      </c>
      <c r="B65" s="8" t="s">
        <v>26</v>
      </c>
      <c r="C65" s="8" t="s">
        <v>2221</v>
      </c>
    </row>
    <row r="66" spans="1:3" x14ac:dyDescent="0.2">
      <c r="A66" s="12">
        <v>65</v>
      </c>
      <c r="B66" s="8" t="s">
        <v>62</v>
      </c>
      <c r="C66" s="8" t="s">
        <v>2202</v>
      </c>
    </row>
    <row r="67" spans="1:3" x14ac:dyDescent="0.2">
      <c r="A67" s="12">
        <v>66</v>
      </c>
      <c r="B67" s="8" t="s">
        <v>466</v>
      </c>
      <c r="C67" s="8" t="s">
        <v>2218</v>
      </c>
    </row>
    <row r="68" spans="1:3" x14ac:dyDescent="0.2">
      <c r="A68" s="12">
        <v>67</v>
      </c>
      <c r="B68" s="8" t="s">
        <v>655</v>
      </c>
      <c r="C68" s="8" t="s">
        <v>2213</v>
      </c>
    </row>
    <row r="69" spans="1:3" x14ac:dyDescent="0.2">
      <c r="A69" s="12">
        <v>68</v>
      </c>
      <c r="B69" s="8" t="s">
        <v>331</v>
      </c>
      <c r="C69" s="8" t="s">
        <v>2195</v>
      </c>
    </row>
    <row r="70" spans="1:3" x14ac:dyDescent="0.2">
      <c r="A70" s="12">
        <v>69</v>
      </c>
      <c r="B70" s="8" t="s">
        <v>577</v>
      </c>
      <c r="C70" s="8" t="s">
        <v>2207</v>
      </c>
    </row>
    <row r="71" spans="1:3" x14ac:dyDescent="0.2">
      <c r="A71" s="12">
        <v>70</v>
      </c>
      <c r="B71" s="8" t="s">
        <v>319</v>
      </c>
      <c r="C71" s="8" t="s">
        <v>2211</v>
      </c>
    </row>
    <row r="72" spans="1:3" x14ac:dyDescent="0.2">
      <c r="A72" s="12">
        <v>71</v>
      </c>
      <c r="B72" s="8" t="s">
        <v>388</v>
      </c>
      <c r="C72" s="8" t="s">
        <v>2221</v>
      </c>
    </row>
    <row r="73" spans="1:3" x14ac:dyDescent="0.2">
      <c r="A73" s="12">
        <v>72</v>
      </c>
      <c r="B73" s="8" t="s">
        <v>335</v>
      </c>
      <c r="C73" s="8" t="s">
        <v>2214</v>
      </c>
    </row>
    <row r="74" spans="1:3" x14ac:dyDescent="0.2">
      <c r="A74" s="12">
        <v>73</v>
      </c>
      <c r="B74" s="8" t="s">
        <v>353</v>
      </c>
      <c r="C74" s="8" t="s">
        <v>2201</v>
      </c>
    </row>
    <row r="75" spans="1:3" x14ac:dyDescent="0.2">
      <c r="A75" s="12">
        <v>74</v>
      </c>
      <c r="B75" s="8" t="s">
        <v>480</v>
      </c>
      <c r="C75" s="8" t="s">
        <v>2215</v>
      </c>
    </row>
    <row r="76" spans="1:3" x14ac:dyDescent="0.2">
      <c r="A76" s="12">
        <v>75</v>
      </c>
      <c r="B76" s="8" t="s">
        <v>465</v>
      </c>
      <c r="C76" s="8" t="s">
        <v>2218</v>
      </c>
    </row>
    <row r="77" spans="1:3" x14ac:dyDescent="0.2">
      <c r="A77" s="12">
        <v>76</v>
      </c>
      <c r="B77" s="8" t="s">
        <v>311</v>
      </c>
      <c r="C77" s="8" t="s">
        <v>2203</v>
      </c>
    </row>
    <row r="78" spans="1:3" x14ac:dyDescent="0.2">
      <c r="A78" s="12">
        <v>77</v>
      </c>
      <c r="B78" s="8" t="s">
        <v>131</v>
      </c>
      <c r="C78" s="8" t="s">
        <v>2201</v>
      </c>
    </row>
    <row r="79" spans="1:3" x14ac:dyDescent="0.2">
      <c r="A79" s="12">
        <v>78</v>
      </c>
      <c r="B79" s="8" t="s">
        <v>70</v>
      </c>
      <c r="C79" s="8" t="s">
        <v>2197</v>
      </c>
    </row>
    <row r="80" spans="1:3" x14ac:dyDescent="0.2">
      <c r="A80" s="12">
        <v>79</v>
      </c>
      <c r="B80" s="8" t="s">
        <v>34</v>
      </c>
      <c r="C80" s="8" t="s">
        <v>2223</v>
      </c>
    </row>
    <row r="81" spans="1:3" x14ac:dyDescent="0.2">
      <c r="A81" s="12">
        <v>80</v>
      </c>
      <c r="B81" s="8" t="s">
        <v>471</v>
      </c>
      <c r="C81" s="8" t="s">
        <v>2224</v>
      </c>
    </row>
    <row r="82" spans="1:3" x14ac:dyDescent="0.2">
      <c r="A82" s="12">
        <v>81</v>
      </c>
      <c r="B82" s="8" t="s">
        <v>642</v>
      </c>
      <c r="C82" s="8" t="s">
        <v>2224</v>
      </c>
    </row>
    <row r="83" spans="1:3" x14ac:dyDescent="0.2">
      <c r="A83" s="12">
        <v>82</v>
      </c>
      <c r="B83" s="8" t="s">
        <v>38</v>
      </c>
      <c r="C83" s="8" t="s">
        <v>2197</v>
      </c>
    </row>
    <row r="84" spans="1:3" x14ac:dyDescent="0.2">
      <c r="A84" s="12">
        <v>83</v>
      </c>
      <c r="B84" s="8" t="s">
        <v>47</v>
      </c>
      <c r="C84" s="8" t="s">
        <v>2196</v>
      </c>
    </row>
    <row r="85" spans="1:3" x14ac:dyDescent="0.2">
      <c r="A85" s="12">
        <v>84</v>
      </c>
      <c r="B85" s="8" t="s">
        <v>73</v>
      </c>
      <c r="C85" s="8" t="s">
        <v>2204</v>
      </c>
    </row>
    <row r="86" spans="1:3" x14ac:dyDescent="0.2">
      <c r="A86" s="12">
        <v>85</v>
      </c>
      <c r="B86" s="8" t="s">
        <v>332</v>
      </c>
      <c r="C86" s="8" t="s">
        <v>2222</v>
      </c>
    </row>
    <row r="87" spans="1:3" x14ac:dyDescent="0.2">
      <c r="A87" s="12">
        <v>86</v>
      </c>
      <c r="B87" s="8" t="s">
        <v>86</v>
      </c>
      <c r="C87" s="8" t="s">
        <v>2216</v>
      </c>
    </row>
    <row r="88" spans="1:3" x14ac:dyDescent="0.2">
      <c r="A88" s="12">
        <v>87</v>
      </c>
      <c r="B88" s="8" t="s">
        <v>43</v>
      </c>
      <c r="C88" s="8" t="s">
        <v>2210</v>
      </c>
    </row>
    <row r="89" spans="1:3" x14ac:dyDescent="0.2">
      <c r="A89" s="12">
        <v>88</v>
      </c>
      <c r="B89" s="8" t="s">
        <v>309</v>
      </c>
      <c r="C89" s="8" t="s">
        <v>2200</v>
      </c>
    </row>
    <row r="90" spans="1:3" x14ac:dyDescent="0.2">
      <c r="A90" s="12">
        <v>89</v>
      </c>
      <c r="B90" s="8" t="s">
        <v>63</v>
      </c>
      <c r="C90" s="8" t="s">
        <v>2219</v>
      </c>
    </row>
    <row r="91" spans="1:3" x14ac:dyDescent="0.2">
      <c r="A91" s="12">
        <v>90</v>
      </c>
      <c r="B91" s="8" t="s">
        <v>74</v>
      </c>
      <c r="C91" s="8" t="s">
        <v>2223</v>
      </c>
    </row>
    <row r="92" spans="1:3" x14ac:dyDescent="0.2">
      <c r="A92" s="12">
        <v>91</v>
      </c>
      <c r="B92" s="8" t="s">
        <v>296</v>
      </c>
      <c r="C92" s="8" t="s">
        <v>2218</v>
      </c>
    </row>
    <row r="93" spans="1:3" x14ac:dyDescent="0.2">
      <c r="A93" s="12">
        <v>92</v>
      </c>
      <c r="B93" s="8" t="s">
        <v>112</v>
      </c>
      <c r="C93" s="8" t="s">
        <v>2220</v>
      </c>
    </row>
    <row r="94" spans="1:3" x14ac:dyDescent="0.2">
      <c r="A94" s="12">
        <v>93</v>
      </c>
      <c r="B94" s="8" t="s">
        <v>139</v>
      </c>
      <c r="C94" s="8" t="s">
        <v>2203</v>
      </c>
    </row>
    <row r="95" spans="1:3" x14ac:dyDescent="0.2">
      <c r="A95" s="12">
        <v>94</v>
      </c>
      <c r="B95" s="8" t="s">
        <v>345</v>
      </c>
      <c r="C95" s="8" t="s">
        <v>2213</v>
      </c>
    </row>
    <row r="96" spans="1:3" x14ac:dyDescent="0.2">
      <c r="A96" s="12">
        <v>95</v>
      </c>
      <c r="B96" s="8" t="s">
        <v>41</v>
      </c>
      <c r="C96" s="8" t="s">
        <v>2208</v>
      </c>
    </row>
    <row r="97" spans="1:3" x14ac:dyDescent="0.2">
      <c r="A97" s="12">
        <v>96</v>
      </c>
      <c r="B97" s="8" t="s">
        <v>557</v>
      </c>
      <c r="C97" s="8" t="s">
        <v>2207</v>
      </c>
    </row>
    <row r="98" spans="1:3" x14ac:dyDescent="0.2">
      <c r="A98" s="12">
        <v>97</v>
      </c>
      <c r="B98" s="8" t="s">
        <v>354</v>
      </c>
      <c r="C98" s="8" t="s">
        <v>2202</v>
      </c>
    </row>
    <row r="99" spans="1:3" x14ac:dyDescent="0.2">
      <c r="A99" s="12">
        <v>98</v>
      </c>
      <c r="B99" s="8" t="s">
        <v>138</v>
      </c>
      <c r="C99" s="8" t="s">
        <v>2197</v>
      </c>
    </row>
    <row r="100" spans="1:3" x14ac:dyDescent="0.2">
      <c r="A100" s="12">
        <v>99</v>
      </c>
      <c r="B100" s="8" t="s">
        <v>378</v>
      </c>
      <c r="C100" s="8" t="s">
        <v>2211</v>
      </c>
    </row>
    <row r="101" spans="1:3" x14ac:dyDescent="0.2">
      <c r="A101" s="12">
        <v>100</v>
      </c>
      <c r="B101" s="8" t="s">
        <v>316</v>
      </c>
      <c r="C101" s="8" t="s">
        <v>2216</v>
      </c>
    </row>
    <row r="102" spans="1:3" x14ac:dyDescent="0.2">
      <c r="A102" s="12">
        <v>101</v>
      </c>
      <c r="B102" s="8" t="s">
        <v>32</v>
      </c>
      <c r="C102" s="8" t="s">
        <v>2195</v>
      </c>
    </row>
    <row r="103" spans="1:3" x14ac:dyDescent="0.2">
      <c r="A103" s="12">
        <v>102</v>
      </c>
      <c r="B103" s="8" t="s">
        <v>342</v>
      </c>
      <c r="C103" s="8" t="s">
        <v>2223</v>
      </c>
    </row>
    <row r="104" spans="1:3" x14ac:dyDescent="0.2">
      <c r="A104" s="12">
        <v>103</v>
      </c>
      <c r="B104" s="8" t="s">
        <v>328</v>
      </c>
      <c r="C104" s="8" t="s">
        <v>2213</v>
      </c>
    </row>
    <row r="105" spans="1:3" x14ac:dyDescent="0.2">
      <c r="A105" s="12">
        <v>104</v>
      </c>
      <c r="B105" s="8" t="s">
        <v>302</v>
      </c>
      <c r="C105" s="8" t="s">
        <v>2209</v>
      </c>
    </row>
    <row r="106" spans="1:3" x14ac:dyDescent="0.2">
      <c r="A106" s="12">
        <v>105</v>
      </c>
      <c r="B106" s="8" t="s">
        <v>559</v>
      </c>
      <c r="C106" s="8" t="s">
        <v>2223</v>
      </c>
    </row>
    <row r="107" spans="1:3" x14ac:dyDescent="0.2">
      <c r="A107" s="12">
        <v>106</v>
      </c>
      <c r="B107" s="8" t="s">
        <v>346</v>
      </c>
      <c r="C107" s="8" t="s">
        <v>2204</v>
      </c>
    </row>
    <row r="108" spans="1:3" x14ac:dyDescent="0.2">
      <c r="A108" s="12">
        <v>107</v>
      </c>
      <c r="B108" s="8" t="s">
        <v>35</v>
      </c>
      <c r="C108" s="8" t="s">
        <v>2217</v>
      </c>
    </row>
    <row r="109" spans="1:3" x14ac:dyDescent="0.2">
      <c r="A109" s="12">
        <v>108</v>
      </c>
      <c r="B109" s="8" t="s">
        <v>95</v>
      </c>
      <c r="C109" s="8" t="s">
        <v>2206</v>
      </c>
    </row>
    <row r="110" spans="1:3" x14ac:dyDescent="0.2">
      <c r="A110" s="12">
        <v>109</v>
      </c>
      <c r="B110" s="8" t="s">
        <v>37</v>
      </c>
      <c r="C110" s="8" t="s">
        <v>2221</v>
      </c>
    </row>
    <row r="111" spans="1:3" x14ac:dyDescent="0.2">
      <c r="A111" s="12">
        <v>110</v>
      </c>
      <c r="B111" s="8" t="s">
        <v>49</v>
      </c>
      <c r="C111" s="8" t="s">
        <v>2215</v>
      </c>
    </row>
    <row r="112" spans="1:3" x14ac:dyDescent="0.2">
      <c r="A112" s="12">
        <v>111</v>
      </c>
      <c r="B112" s="8" t="s">
        <v>318</v>
      </c>
      <c r="C112" s="8" t="s">
        <v>2209</v>
      </c>
    </row>
    <row r="113" spans="1:3" x14ac:dyDescent="0.2">
      <c r="A113" s="12">
        <v>112</v>
      </c>
      <c r="B113" s="8" t="s">
        <v>76</v>
      </c>
      <c r="C113" s="8" t="s">
        <v>2214</v>
      </c>
    </row>
    <row r="114" spans="1:3" x14ac:dyDescent="0.2">
      <c r="A114" s="12">
        <v>113</v>
      </c>
      <c r="B114" s="8" t="s">
        <v>336</v>
      </c>
      <c r="C114" s="8" t="s">
        <v>2198</v>
      </c>
    </row>
    <row r="115" spans="1:3" x14ac:dyDescent="0.2">
      <c r="A115" s="12">
        <v>114</v>
      </c>
      <c r="B115" s="8" t="s">
        <v>303</v>
      </c>
      <c r="C115" s="8" t="s">
        <v>2207</v>
      </c>
    </row>
    <row r="116" spans="1:3" x14ac:dyDescent="0.2">
      <c r="A116" s="12">
        <v>115</v>
      </c>
      <c r="B116" s="8" t="s">
        <v>141</v>
      </c>
      <c r="C116" s="8" t="s">
        <v>2218</v>
      </c>
    </row>
    <row r="117" spans="1:3" x14ac:dyDescent="0.2">
      <c r="A117" s="12">
        <v>116</v>
      </c>
      <c r="B117" s="8" t="s">
        <v>329</v>
      </c>
      <c r="C117" s="8" t="s">
        <v>2224</v>
      </c>
    </row>
    <row r="118" spans="1:3" x14ac:dyDescent="0.2">
      <c r="A118" s="12">
        <v>117</v>
      </c>
      <c r="B118" s="8" t="s">
        <v>367</v>
      </c>
      <c r="C118" s="8" t="s">
        <v>2206</v>
      </c>
    </row>
    <row r="119" spans="1:3" x14ac:dyDescent="0.2">
      <c r="A119" s="12">
        <v>118</v>
      </c>
      <c r="B119" s="8" t="s">
        <v>290</v>
      </c>
      <c r="C119" s="8" t="s">
        <v>2206</v>
      </c>
    </row>
    <row r="120" spans="1:3" x14ac:dyDescent="0.2">
      <c r="A120" s="12">
        <v>119</v>
      </c>
      <c r="B120" s="8" t="s">
        <v>33</v>
      </c>
      <c r="C120" s="8" t="s">
        <v>2198</v>
      </c>
    </row>
    <row r="121" spans="1:3" x14ac:dyDescent="0.2">
      <c r="A121" s="12">
        <v>120</v>
      </c>
      <c r="B121" s="8" t="s">
        <v>75</v>
      </c>
      <c r="C121" s="8" t="s">
        <v>2222</v>
      </c>
    </row>
    <row r="122" spans="1:3" x14ac:dyDescent="0.2">
      <c r="A122" s="12">
        <v>121</v>
      </c>
      <c r="B122" s="8" t="s">
        <v>45</v>
      </c>
      <c r="C122" s="8" t="s">
        <v>2204</v>
      </c>
    </row>
    <row r="123" spans="1:3" x14ac:dyDescent="0.2">
      <c r="A123" s="12">
        <v>122</v>
      </c>
      <c r="B123" s="8" t="s">
        <v>85</v>
      </c>
      <c r="C123" s="8" t="s">
        <v>2220</v>
      </c>
    </row>
    <row r="124" spans="1:3" x14ac:dyDescent="0.2">
      <c r="A124" s="12">
        <v>123</v>
      </c>
      <c r="B124" s="8" t="s">
        <v>48</v>
      </c>
      <c r="C124" s="8" t="s">
        <v>2196</v>
      </c>
    </row>
    <row r="125" spans="1:3" x14ac:dyDescent="0.2">
      <c r="A125" s="12">
        <v>124</v>
      </c>
      <c r="B125" s="8" t="s">
        <v>298</v>
      </c>
      <c r="C125" s="8" t="s">
        <v>2208</v>
      </c>
    </row>
    <row r="126" spans="1:3" x14ac:dyDescent="0.2">
      <c r="A126" s="12">
        <v>125</v>
      </c>
      <c r="B126" s="8" t="s">
        <v>627</v>
      </c>
      <c r="C126" s="8" t="s">
        <v>2195</v>
      </c>
    </row>
    <row r="127" spans="1:3" x14ac:dyDescent="0.2">
      <c r="A127" s="12">
        <v>126</v>
      </c>
      <c r="B127" s="8" t="s">
        <v>310</v>
      </c>
      <c r="C127" s="8" t="s">
        <v>2222</v>
      </c>
    </row>
    <row r="128" spans="1:3" x14ac:dyDescent="0.2">
      <c r="A128" s="12">
        <v>127</v>
      </c>
      <c r="B128" s="8" t="s">
        <v>539</v>
      </c>
      <c r="C128" s="8" t="s">
        <v>2198</v>
      </c>
    </row>
    <row r="129" spans="1:3" x14ac:dyDescent="0.2">
      <c r="A129" s="12">
        <v>128</v>
      </c>
      <c r="B129" s="8" t="s">
        <v>379</v>
      </c>
      <c r="C129" s="8" t="s">
        <v>2221</v>
      </c>
    </row>
    <row r="130" spans="1:3" x14ac:dyDescent="0.2">
      <c r="A130" s="12">
        <v>129</v>
      </c>
      <c r="B130" s="8" t="s">
        <v>72</v>
      </c>
      <c r="C130" s="8" t="s">
        <v>2207</v>
      </c>
    </row>
    <row r="131" spans="1:3" x14ac:dyDescent="0.2">
      <c r="A131" s="12">
        <v>130</v>
      </c>
      <c r="B131" s="8" t="s">
        <v>78</v>
      </c>
      <c r="C131" s="8" t="s">
        <v>2216</v>
      </c>
    </row>
    <row r="132" spans="1:3" x14ac:dyDescent="0.2">
      <c r="A132" s="12">
        <v>131</v>
      </c>
      <c r="B132" s="8" t="s">
        <v>322</v>
      </c>
      <c r="C132" s="8" t="s">
        <v>2211</v>
      </c>
    </row>
    <row r="133" spans="1:3" x14ac:dyDescent="0.2">
      <c r="A133" s="12">
        <v>132</v>
      </c>
      <c r="B133" s="8" t="s">
        <v>297</v>
      </c>
      <c r="C133" s="8" t="s">
        <v>2212</v>
      </c>
    </row>
    <row r="134" spans="1:3" x14ac:dyDescent="0.2">
      <c r="A134" s="12">
        <v>133</v>
      </c>
      <c r="B134" s="8" t="s">
        <v>53</v>
      </c>
      <c r="C134" s="8" t="s">
        <v>2202</v>
      </c>
    </row>
    <row r="135" spans="1:3" x14ac:dyDescent="0.2">
      <c r="A135" s="12">
        <v>134</v>
      </c>
      <c r="B135" s="8" t="s">
        <v>398</v>
      </c>
      <c r="C135" s="8" t="s">
        <v>2214</v>
      </c>
    </row>
    <row r="136" spans="1:3" x14ac:dyDescent="0.2">
      <c r="A136" s="12">
        <v>135</v>
      </c>
      <c r="B136" s="8" t="s">
        <v>357</v>
      </c>
      <c r="C136" s="8" t="s">
        <v>2218</v>
      </c>
    </row>
    <row r="137" spans="1:3" x14ac:dyDescent="0.2">
      <c r="A137" s="12">
        <v>136</v>
      </c>
      <c r="B137" s="8" t="s">
        <v>140</v>
      </c>
      <c r="C137" s="8" t="s">
        <v>2199</v>
      </c>
    </row>
    <row r="138" spans="1:3" x14ac:dyDescent="0.2">
      <c r="A138" s="12">
        <v>137</v>
      </c>
      <c r="B138" s="8" t="s">
        <v>473</v>
      </c>
      <c r="C138" s="8" t="s">
        <v>2214</v>
      </c>
    </row>
    <row r="139" spans="1:3" x14ac:dyDescent="0.2">
      <c r="A139" s="12">
        <v>138</v>
      </c>
      <c r="B139" s="8" t="s">
        <v>96</v>
      </c>
      <c r="C139" s="8" t="s">
        <v>2221</v>
      </c>
    </row>
    <row r="140" spans="1:3" x14ac:dyDescent="0.2">
      <c r="A140" s="12">
        <v>139</v>
      </c>
      <c r="B140" s="8" t="s">
        <v>456</v>
      </c>
      <c r="C140" s="8" t="s">
        <v>2205</v>
      </c>
    </row>
    <row r="141" spans="1:3" x14ac:dyDescent="0.2">
      <c r="A141" s="12">
        <v>140</v>
      </c>
      <c r="B141" s="8" t="s">
        <v>337</v>
      </c>
      <c r="C141" s="8" t="s">
        <v>2203</v>
      </c>
    </row>
    <row r="142" spans="1:3" x14ac:dyDescent="0.2">
      <c r="A142" s="12">
        <v>141</v>
      </c>
      <c r="B142" s="8" t="s">
        <v>304</v>
      </c>
      <c r="C142" s="8" t="s">
        <v>2223</v>
      </c>
    </row>
    <row r="143" spans="1:3" x14ac:dyDescent="0.2">
      <c r="A143" s="12">
        <v>142</v>
      </c>
      <c r="B143" s="8" t="s">
        <v>370</v>
      </c>
      <c r="C143" s="8" t="s">
        <v>2206</v>
      </c>
    </row>
    <row r="144" spans="1:3" x14ac:dyDescent="0.2">
      <c r="A144" s="12">
        <v>143</v>
      </c>
      <c r="B144" s="8" t="s">
        <v>55</v>
      </c>
      <c r="C144" s="8" t="s">
        <v>2196</v>
      </c>
    </row>
    <row r="145" spans="1:3" x14ac:dyDescent="0.2">
      <c r="A145" s="12">
        <v>144</v>
      </c>
      <c r="B145" s="8" t="s">
        <v>338</v>
      </c>
      <c r="C145" s="8" t="s">
        <v>2206</v>
      </c>
    </row>
    <row r="146" spans="1:3" x14ac:dyDescent="0.2">
      <c r="A146" s="12">
        <v>145</v>
      </c>
      <c r="B146" s="8" t="s">
        <v>305</v>
      </c>
      <c r="C146" s="8" t="s">
        <v>2213</v>
      </c>
    </row>
    <row r="147" spans="1:3" x14ac:dyDescent="0.2">
      <c r="A147" s="12">
        <v>146</v>
      </c>
      <c r="B147" s="8" t="s">
        <v>333</v>
      </c>
      <c r="C147" s="8" t="s">
        <v>2213</v>
      </c>
    </row>
    <row r="148" spans="1:3" x14ac:dyDescent="0.2">
      <c r="A148" s="12">
        <v>147</v>
      </c>
      <c r="B148" s="8" t="s">
        <v>474</v>
      </c>
      <c r="C148" s="8" t="s">
        <v>2215</v>
      </c>
    </row>
    <row r="149" spans="1:3" x14ac:dyDescent="0.2">
      <c r="A149" s="12">
        <v>148</v>
      </c>
      <c r="B149" s="8" t="s">
        <v>330</v>
      </c>
      <c r="C149" s="8" t="s">
        <v>2205</v>
      </c>
    </row>
    <row r="150" spans="1:3" x14ac:dyDescent="0.2">
      <c r="A150" s="12">
        <v>149</v>
      </c>
      <c r="B150" s="8" t="s">
        <v>56</v>
      </c>
      <c r="C150" s="8" t="s">
        <v>2210</v>
      </c>
    </row>
    <row r="151" spans="1:3" x14ac:dyDescent="0.2">
      <c r="A151" s="12">
        <v>150</v>
      </c>
      <c r="B151" s="8" t="s">
        <v>356</v>
      </c>
      <c r="C151" s="8" t="s">
        <v>2220</v>
      </c>
    </row>
    <row r="152" spans="1:3" x14ac:dyDescent="0.2">
      <c r="A152" s="12">
        <v>151</v>
      </c>
      <c r="B152" s="8" t="s">
        <v>39</v>
      </c>
      <c r="C152" s="8" t="s">
        <v>2198</v>
      </c>
    </row>
    <row r="153" spans="1:3" x14ac:dyDescent="0.2">
      <c r="A153" s="12">
        <v>152</v>
      </c>
      <c r="B153" s="8" t="s">
        <v>358</v>
      </c>
      <c r="C153" s="8" t="s">
        <v>2224</v>
      </c>
    </row>
    <row r="154" spans="1:3" x14ac:dyDescent="0.2">
      <c r="A154" s="12">
        <v>153</v>
      </c>
      <c r="B154" s="8" t="s">
        <v>60</v>
      </c>
      <c r="C154" s="8" t="s">
        <v>2200</v>
      </c>
    </row>
    <row r="155" spans="1:3" x14ac:dyDescent="0.2">
      <c r="A155" s="12">
        <v>154</v>
      </c>
      <c r="B155" s="8" t="s">
        <v>481</v>
      </c>
      <c r="C155" s="8" t="s">
        <v>2209</v>
      </c>
    </row>
    <row r="156" spans="1:3" x14ac:dyDescent="0.2">
      <c r="A156" s="12">
        <v>155</v>
      </c>
      <c r="B156" s="8" t="s">
        <v>113</v>
      </c>
      <c r="C156" s="8" t="s">
        <v>2215</v>
      </c>
    </row>
    <row r="157" spans="1:3" x14ac:dyDescent="0.2">
      <c r="A157" s="12">
        <v>156</v>
      </c>
      <c r="B157" s="8" t="s">
        <v>126</v>
      </c>
      <c r="C157" s="8" t="s">
        <v>2203</v>
      </c>
    </row>
    <row r="158" spans="1:3" x14ac:dyDescent="0.2">
      <c r="A158" s="12">
        <v>157</v>
      </c>
      <c r="B158" s="8" t="s">
        <v>472</v>
      </c>
      <c r="C158" s="8" t="s">
        <v>2212</v>
      </c>
    </row>
    <row r="159" spans="1:3" x14ac:dyDescent="0.2">
      <c r="A159" s="12">
        <v>158</v>
      </c>
      <c r="B159" s="8" t="s">
        <v>486</v>
      </c>
      <c r="C159" s="8" t="s">
        <v>2212</v>
      </c>
    </row>
    <row r="160" spans="1:3" x14ac:dyDescent="0.2">
      <c r="A160" s="12">
        <v>159</v>
      </c>
      <c r="B160" s="8" t="s">
        <v>323</v>
      </c>
      <c r="C160" s="8" t="s">
        <v>2211</v>
      </c>
    </row>
    <row r="161" spans="1:3" x14ac:dyDescent="0.2">
      <c r="A161" s="12">
        <v>160</v>
      </c>
      <c r="B161" s="8" t="s">
        <v>366</v>
      </c>
      <c r="C161" s="8" t="s">
        <v>2210</v>
      </c>
    </row>
    <row r="162" spans="1:3" x14ac:dyDescent="0.2">
      <c r="A162" s="12">
        <v>161</v>
      </c>
      <c r="B162" s="8" t="s">
        <v>369</v>
      </c>
      <c r="C162" s="8" t="s">
        <v>2204</v>
      </c>
    </row>
    <row r="163" spans="1:3" x14ac:dyDescent="0.2">
      <c r="A163" s="12">
        <v>162</v>
      </c>
      <c r="B163" s="8" t="s">
        <v>571</v>
      </c>
      <c r="C163" s="8" t="s">
        <v>2220</v>
      </c>
    </row>
    <row r="164" spans="1:3" x14ac:dyDescent="0.2">
      <c r="A164" s="12">
        <v>163</v>
      </c>
      <c r="B164" s="8" t="s">
        <v>54</v>
      </c>
      <c r="C164" s="8" t="s">
        <v>2209</v>
      </c>
    </row>
    <row r="165" spans="1:3" x14ac:dyDescent="0.2">
      <c r="A165" s="12">
        <v>164</v>
      </c>
      <c r="B165" s="8" t="s">
        <v>306</v>
      </c>
      <c r="C165" s="8" t="s">
        <v>2214</v>
      </c>
    </row>
    <row r="166" spans="1:3" x14ac:dyDescent="0.2">
      <c r="A166" s="12">
        <v>165</v>
      </c>
      <c r="B166" s="8" t="s">
        <v>88</v>
      </c>
      <c r="C166" s="8" t="s">
        <v>2208</v>
      </c>
    </row>
    <row r="167" spans="1:3" x14ac:dyDescent="0.2">
      <c r="A167" s="12">
        <v>166</v>
      </c>
      <c r="B167" s="8" t="s">
        <v>523</v>
      </c>
      <c r="C167" s="8" t="s">
        <v>2207</v>
      </c>
    </row>
    <row r="168" spans="1:3" x14ac:dyDescent="0.2">
      <c r="A168" s="12">
        <v>167</v>
      </c>
      <c r="B168" s="8" t="s">
        <v>492</v>
      </c>
      <c r="C168" s="8" t="s">
        <v>2203</v>
      </c>
    </row>
    <row r="169" spans="1:3" x14ac:dyDescent="0.2">
      <c r="A169" s="12">
        <v>168</v>
      </c>
      <c r="B169" s="8" t="s">
        <v>89</v>
      </c>
      <c r="C169" s="8" t="s">
        <v>2195</v>
      </c>
    </row>
    <row r="170" spans="1:3" x14ac:dyDescent="0.2">
      <c r="A170" s="12">
        <v>169</v>
      </c>
      <c r="B170" s="8" t="s">
        <v>389</v>
      </c>
      <c r="C170" s="8" t="s">
        <v>2219</v>
      </c>
    </row>
    <row r="171" spans="1:3" x14ac:dyDescent="0.2">
      <c r="A171" s="12">
        <v>170</v>
      </c>
      <c r="B171" s="8" t="s">
        <v>435</v>
      </c>
      <c r="C171" s="8" t="s">
        <v>2224</v>
      </c>
    </row>
    <row r="172" spans="1:3" x14ac:dyDescent="0.2">
      <c r="A172" s="12">
        <v>171</v>
      </c>
      <c r="B172" s="8" t="s">
        <v>87</v>
      </c>
      <c r="C172" s="8" t="s">
        <v>2214</v>
      </c>
    </row>
    <row r="173" spans="1:3" x14ac:dyDescent="0.2">
      <c r="A173" s="12">
        <v>172</v>
      </c>
      <c r="B173" s="8" t="s">
        <v>390</v>
      </c>
      <c r="C173" s="8" t="s">
        <v>2204</v>
      </c>
    </row>
    <row r="174" spans="1:3" x14ac:dyDescent="0.2">
      <c r="A174" s="12">
        <v>173</v>
      </c>
      <c r="B174" s="8" t="s">
        <v>166</v>
      </c>
      <c r="C174" s="8" t="s">
        <v>2209</v>
      </c>
    </row>
    <row r="175" spans="1:3" x14ac:dyDescent="0.2">
      <c r="A175" s="12">
        <v>174</v>
      </c>
      <c r="B175" s="8" t="s">
        <v>334</v>
      </c>
      <c r="C175" s="8" t="s">
        <v>2224</v>
      </c>
    </row>
    <row r="176" spans="1:3" x14ac:dyDescent="0.2">
      <c r="A176" s="12">
        <v>175</v>
      </c>
      <c r="B176" s="8" t="s">
        <v>142</v>
      </c>
      <c r="C176" s="8" t="s">
        <v>2212</v>
      </c>
    </row>
    <row r="177" spans="1:3" x14ac:dyDescent="0.2">
      <c r="A177" s="12">
        <v>176</v>
      </c>
      <c r="B177" s="8" t="s">
        <v>77</v>
      </c>
      <c r="C177" s="8" t="s">
        <v>2219</v>
      </c>
    </row>
    <row r="178" spans="1:3" x14ac:dyDescent="0.2">
      <c r="A178" s="12">
        <v>177</v>
      </c>
      <c r="B178" s="8" t="s">
        <v>79</v>
      </c>
      <c r="C178" s="8" t="s">
        <v>2220</v>
      </c>
    </row>
    <row r="179" spans="1:3" x14ac:dyDescent="0.2">
      <c r="A179" s="12">
        <v>178</v>
      </c>
      <c r="B179" s="8" t="s">
        <v>579</v>
      </c>
      <c r="C179" s="8" t="s">
        <v>2211</v>
      </c>
    </row>
    <row r="180" spans="1:3" x14ac:dyDescent="0.2">
      <c r="A180" s="12">
        <v>179</v>
      </c>
      <c r="B180" s="8" t="s">
        <v>608</v>
      </c>
      <c r="C180" s="8" t="s">
        <v>2224</v>
      </c>
    </row>
    <row r="181" spans="1:3" x14ac:dyDescent="0.2">
      <c r="A181" s="12">
        <v>180</v>
      </c>
      <c r="B181" s="8" t="s">
        <v>368</v>
      </c>
      <c r="C181" s="8" t="s">
        <v>2209</v>
      </c>
    </row>
    <row r="182" spans="1:3" x14ac:dyDescent="0.2">
      <c r="A182" s="12">
        <v>181</v>
      </c>
      <c r="B182" s="8" t="s">
        <v>98</v>
      </c>
      <c r="C182" s="8" t="s">
        <v>2209</v>
      </c>
    </row>
    <row r="183" spans="1:3" x14ac:dyDescent="0.2">
      <c r="A183" s="12">
        <v>182</v>
      </c>
      <c r="B183" s="8" t="s">
        <v>312</v>
      </c>
      <c r="C183" s="8" t="s">
        <v>2213</v>
      </c>
    </row>
    <row r="184" spans="1:3" x14ac:dyDescent="0.2">
      <c r="A184" s="12">
        <v>183</v>
      </c>
      <c r="B184" s="8" t="s">
        <v>580</v>
      </c>
      <c r="C184" s="8" t="s">
        <v>2201</v>
      </c>
    </row>
    <row r="185" spans="1:3" x14ac:dyDescent="0.2">
      <c r="A185" s="12">
        <v>184</v>
      </c>
      <c r="B185" s="8" t="s">
        <v>67</v>
      </c>
      <c r="C185" s="8" t="s">
        <v>2218</v>
      </c>
    </row>
    <row r="186" spans="1:3" x14ac:dyDescent="0.2">
      <c r="A186" s="12">
        <v>185</v>
      </c>
      <c r="B186" s="8" t="s">
        <v>58</v>
      </c>
      <c r="C186" s="8" t="s">
        <v>2201</v>
      </c>
    </row>
    <row r="187" spans="1:3" x14ac:dyDescent="0.2">
      <c r="A187" s="12">
        <v>186</v>
      </c>
      <c r="B187" s="8" t="s">
        <v>359</v>
      </c>
      <c r="C187" s="8" t="s">
        <v>2223</v>
      </c>
    </row>
    <row r="188" spans="1:3" x14ac:dyDescent="0.2">
      <c r="A188" s="12">
        <v>187</v>
      </c>
      <c r="B188" s="8" t="s">
        <v>190</v>
      </c>
      <c r="C188" s="8" t="s">
        <v>2218</v>
      </c>
    </row>
    <row r="189" spans="1:3" x14ac:dyDescent="0.2">
      <c r="A189" s="12">
        <v>188</v>
      </c>
      <c r="B189" s="8" t="s">
        <v>419</v>
      </c>
      <c r="C189" s="8" t="s">
        <v>2202</v>
      </c>
    </row>
    <row r="190" spans="1:3" x14ac:dyDescent="0.2">
      <c r="A190" s="12">
        <v>189</v>
      </c>
      <c r="B190" s="8" t="s">
        <v>115</v>
      </c>
      <c r="C190" s="8" t="s">
        <v>2197</v>
      </c>
    </row>
    <row r="191" spans="1:3" x14ac:dyDescent="0.2">
      <c r="A191" s="12">
        <v>190</v>
      </c>
      <c r="B191" s="8" t="s">
        <v>97</v>
      </c>
      <c r="C191" s="8" t="s">
        <v>2210</v>
      </c>
    </row>
    <row r="192" spans="1:3" x14ac:dyDescent="0.2">
      <c r="A192" s="12">
        <v>191</v>
      </c>
      <c r="B192" s="8" t="s">
        <v>80</v>
      </c>
      <c r="C192" s="8" t="s">
        <v>2224</v>
      </c>
    </row>
    <row r="193" spans="1:3" x14ac:dyDescent="0.2">
      <c r="A193" s="12">
        <v>192</v>
      </c>
      <c r="B193" s="8" t="s">
        <v>347</v>
      </c>
      <c r="C193" s="8" t="s">
        <v>2217</v>
      </c>
    </row>
    <row r="194" spans="1:3" x14ac:dyDescent="0.2">
      <c r="A194" s="12">
        <v>193</v>
      </c>
      <c r="B194" s="8" t="s">
        <v>61</v>
      </c>
      <c r="C194" s="8" t="s">
        <v>2222</v>
      </c>
    </row>
    <row r="195" spans="1:3" x14ac:dyDescent="0.2">
      <c r="A195" s="12">
        <v>194</v>
      </c>
      <c r="B195" s="8" t="s">
        <v>506</v>
      </c>
      <c r="C195" s="8" t="s">
        <v>2205</v>
      </c>
    </row>
    <row r="196" spans="1:3" x14ac:dyDescent="0.2">
      <c r="A196" s="12">
        <v>195</v>
      </c>
      <c r="B196" s="8" t="s">
        <v>371</v>
      </c>
      <c r="C196" s="8" t="s">
        <v>2207</v>
      </c>
    </row>
    <row r="197" spans="1:3" x14ac:dyDescent="0.2">
      <c r="A197" s="12">
        <v>196</v>
      </c>
      <c r="B197" s="8" t="s">
        <v>320</v>
      </c>
      <c r="C197" s="8" t="s">
        <v>2217</v>
      </c>
    </row>
    <row r="198" spans="1:3" x14ac:dyDescent="0.2">
      <c r="A198" s="12">
        <v>197</v>
      </c>
      <c r="B198" s="8" t="s">
        <v>363</v>
      </c>
      <c r="C198" s="8" t="s">
        <v>2219</v>
      </c>
    </row>
    <row r="199" spans="1:3" x14ac:dyDescent="0.2">
      <c r="A199" s="12">
        <v>198</v>
      </c>
      <c r="B199" s="8" t="s">
        <v>675</v>
      </c>
      <c r="C199" s="8" t="s">
        <v>2208</v>
      </c>
    </row>
    <row r="200" spans="1:3" x14ac:dyDescent="0.2">
      <c r="A200" s="12">
        <v>199</v>
      </c>
      <c r="B200" s="8" t="s">
        <v>50</v>
      </c>
      <c r="C200" s="8" t="s">
        <v>2212</v>
      </c>
    </row>
    <row r="201" spans="1:3" x14ac:dyDescent="0.2">
      <c r="A201" s="12">
        <v>200</v>
      </c>
      <c r="B201" s="8" t="s">
        <v>475</v>
      </c>
      <c r="C201" s="8" t="s">
        <v>2218</v>
      </c>
    </row>
    <row r="202" spans="1:3" x14ac:dyDescent="0.2">
      <c r="A202" s="12">
        <v>201</v>
      </c>
      <c r="B202" s="8" t="s">
        <v>360</v>
      </c>
      <c r="C202" s="8" t="s">
        <v>2209</v>
      </c>
    </row>
    <row r="203" spans="1:3" x14ac:dyDescent="0.2">
      <c r="A203" s="12">
        <v>202</v>
      </c>
      <c r="B203" s="8" t="s">
        <v>348</v>
      </c>
      <c r="C203" s="8" t="s">
        <v>2199</v>
      </c>
    </row>
    <row r="204" spans="1:3" x14ac:dyDescent="0.2">
      <c r="A204" s="12">
        <v>203</v>
      </c>
      <c r="B204" s="8" t="s">
        <v>92</v>
      </c>
      <c r="C204" s="8" t="s">
        <v>2221</v>
      </c>
    </row>
    <row r="205" spans="1:3" x14ac:dyDescent="0.2">
      <c r="A205" s="12">
        <v>204</v>
      </c>
      <c r="B205" s="8" t="s">
        <v>401</v>
      </c>
      <c r="C205" s="8" t="s">
        <v>2204</v>
      </c>
    </row>
    <row r="206" spans="1:3" x14ac:dyDescent="0.2">
      <c r="A206" s="12">
        <v>205</v>
      </c>
      <c r="B206" s="8" t="s">
        <v>631</v>
      </c>
      <c r="C206" s="8" t="s">
        <v>2196</v>
      </c>
    </row>
    <row r="207" spans="1:3" x14ac:dyDescent="0.2">
      <c r="A207" s="12">
        <v>206</v>
      </c>
      <c r="B207" s="8" t="s">
        <v>100</v>
      </c>
      <c r="C207" s="8" t="s">
        <v>2202</v>
      </c>
    </row>
    <row r="208" spans="1:3" x14ac:dyDescent="0.2">
      <c r="A208" s="12">
        <v>207</v>
      </c>
      <c r="B208" s="8" t="s">
        <v>380</v>
      </c>
      <c r="C208" s="8" t="s">
        <v>2200</v>
      </c>
    </row>
    <row r="209" spans="1:3" x14ac:dyDescent="0.2">
      <c r="A209" s="12">
        <v>208</v>
      </c>
      <c r="B209" s="8" t="s">
        <v>168</v>
      </c>
      <c r="C209" s="8" t="s">
        <v>2211</v>
      </c>
    </row>
    <row r="210" spans="1:3" x14ac:dyDescent="0.2">
      <c r="A210" s="12">
        <v>209</v>
      </c>
      <c r="B210" s="8" t="s">
        <v>476</v>
      </c>
      <c r="C210" s="8" t="s">
        <v>2195</v>
      </c>
    </row>
    <row r="211" spans="1:3" x14ac:dyDescent="0.2">
      <c r="A211" s="12">
        <v>210</v>
      </c>
      <c r="B211" s="8" t="s">
        <v>341</v>
      </c>
      <c r="C211" s="8" t="s">
        <v>2201</v>
      </c>
    </row>
    <row r="212" spans="1:3" x14ac:dyDescent="0.2">
      <c r="A212" s="12">
        <v>211</v>
      </c>
      <c r="B212" s="8" t="s">
        <v>403</v>
      </c>
      <c r="C212" s="8" t="s">
        <v>2205</v>
      </c>
    </row>
    <row r="213" spans="1:3" x14ac:dyDescent="0.2">
      <c r="A213" s="12">
        <v>212</v>
      </c>
      <c r="B213" s="8" t="s">
        <v>59</v>
      </c>
      <c r="C213" s="8" t="s">
        <v>2219</v>
      </c>
    </row>
    <row r="214" spans="1:3" x14ac:dyDescent="0.2">
      <c r="A214" s="12">
        <v>213</v>
      </c>
      <c r="B214" s="8" t="s">
        <v>469</v>
      </c>
      <c r="C214" s="8" t="s">
        <v>2213</v>
      </c>
    </row>
    <row r="215" spans="1:3" x14ac:dyDescent="0.2">
      <c r="A215" s="12">
        <v>214</v>
      </c>
      <c r="B215" s="8" t="s">
        <v>372</v>
      </c>
      <c r="C215" s="8" t="s">
        <v>2224</v>
      </c>
    </row>
    <row r="216" spans="1:3" x14ac:dyDescent="0.2">
      <c r="A216" s="12">
        <v>215</v>
      </c>
      <c r="B216" s="8" t="s">
        <v>339</v>
      </c>
      <c r="C216" s="8" t="s">
        <v>2208</v>
      </c>
    </row>
    <row r="217" spans="1:3" x14ac:dyDescent="0.2">
      <c r="A217" s="12">
        <v>216</v>
      </c>
      <c r="B217" s="8" t="s">
        <v>373</v>
      </c>
      <c r="C217" s="8" t="s">
        <v>2207</v>
      </c>
    </row>
    <row r="218" spans="1:3" x14ac:dyDescent="0.2">
      <c r="A218" s="12">
        <v>217</v>
      </c>
      <c r="B218" s="8" t="s">
        <v>167</v>
      </c>
      <c r="C218" s="8" t="s">
        <v>2214</v>
      </c>
    </row>
    <row r="219" spans="1:3" x14ac:dyDescent="0.2">
      <c r="A219" s="12">
        <v>218</v>
      </c>
      <c r="B219" s="8" t="s">
        <v>400</v>
      </c>
      <c r="C219" s="8" t="s">
        <v>2214</v>
      </c>
    </row>
    <row r="220" spans="1:3" x14ac:dyDescent="0.2">
      <c r="A220" s="12">
        <v>219</v>
      </c>
      <c r="B220" s="8" t="s">
        <v>660</v>
      </c>
      <c r="C220" s="8" t="s">
        <v>2220</v>
      </c>
    </row>
    <row r="221" spans="1:3" x14ac:dyDescent="0.2">
      <c r="A221" s="12">
        <v>220</v>
      </c>
      <c r="B221" s="8" t="s">
        <v>82</v>
      </c>
      <c r="C221" s="8" t="s">
        <v>2223</v>
      </c>
    </row>
    <row r="222" spans="1:3" x14ac:dyDescent="0.2">
      <c r="A222" s="12">
        <v>221</v>
      </c>
      <c r="B222" s="8" t="s">
        <v>349</v>
      </c>
      <c r="C222" s="8" t="s">
        <v>2212</v>
      </c>
    </row>
    <row r="223" spans="1:3" x14ac:dyDescent="0.2">
      <c r="A223" s="12">
        <v>222</v>
      </c>
      <c r="B223" s="8" t="s">
        <v>350</v>
      </c>
      <c r="C223" s="8" t="s">
        <v>2221</v>
      </c>
    </row>
    <row r="224" spans="1:3" x14ac:dyDescent="0.2">
      <c r="A224" s="12">
        <v>223</v>
      </c>
      <c r="B224" s="8" t="s">
        <v>374</v>
      </c>
      <c r="C224" s="8" t="s">
        <v>2200</v>
      </c>
    </row>
    <row r="225" spans="1:3" x14ac:dyDescent="0.2">
      <c r="A225" s="12">
        <v>224</v>
      </c>
      <c r="B225" s="8" t="s">
        <v>125</v>
      </c>
      <c r="C225" s="8" t="s">
        <v>2217</v>
      </c>
    </row>
    <row r="226" spans="1:3" x14ac:dyDescent="0.2">
      <c r="A226" s="12">
        <v>225</v>
      </c>
      <c r="B226" s="8" t="s">
        <v>399</v>
      </c>
      <c r="C226" s="8" t="s">
        <v>2200</v>
      </c>
    </row>
    <row r="227" spans="1:3" x14ac:dyDescent="0.2">
      <c r="A227" s="12">
        <v>226</v>
      </c>
      <c r="B227" s="8" t="s">
        <v>340</v>
      </c>
      <c r="C227" s="8" t="s">
        <v>2223</v>
      </c>
    </row>
    <row r="228" spans="1:3" x14ac:dyDescent="0.2">
      <c r="A228" s="12">
        <v>227</v>
      </c>
      <c r="B228" s="8" t="s">
        <v>127</v>
      </c>
      <c r="C228" s="8" t="s">
        <v>2222</v>
      </c>
    </row>
    <row r="229" spans="1:3" x14ac:dyDescent="0.2">
      <c r="A229" s="12">
        <v>228</v>
      </c>
      <c r="B229" s="8" t="s">
        <v>146</v>
      </c>
      <c r="C229" s="8" t="s">
        <v>2209</v>
      </c>
    </row>
    <row r="230" spans="1:3" x14ac:dyDescent="0.2">
      <c r="A230" s="12">
        <v>229</v>
      </c>
      <c r="B230" s="8" t="s">
        <v>343</v>
      </c>
      <c r="C230" s="8" t="s">
        <v>2198</v>
      </c>
    </row>
    <row r="231" spans="1:3" x14ac:dyDescent="0.2">
      <c r="A231" s="12">
        <v>230</v>
      </c>
      <c r="B231" s="8" t="s">
        <v>114</v>
      </c>
      <c r="C231" s="8" t="s">
        <v>2208</v>
      </c>
    </row>
    <row r="232" spans="1:3" x14ac:dyDescent="0.2">
      <c r="A232" s="12">
        <v>231</v>
      </c>
      <c r="B232" s="8" t="s">
        <v>192</v>
      </c>
      <c r="C232" s="8" t="s">
        <v>2205</v>
      </c>
    </row>
    <row r="233" spans="1:3" x14ac:dyDescent="0.2">
      <c r="A233" s="12">
        <v>232</v>
      </c>
      <c r="B233" s="8" t="s">
        <v>143</v>
      </c>
      <c r="C233" s="8" t="s">
        <v>2200</v>
      </c>
    </row>
    <row r="234" spans="1:3" x14ac:dyDescent="0.2">
      <c r="A234" s="12">
        <v>233</v>
      </c>
      <c r="B234" s="8" t="s">
        <v>128</v>
      </c>
      <c r="C234" s="8" t="s">
        <v>2210</v>
      </c>
    </row>
    <row r="235" spans="1:3" x14ac:dyDescent="0.2">
      <c r="A235" s="12">
        <v>234</v>
      </c>
      <c r="B235" s="8" t="s">
        <v>103</v>
      </c>
      <c r="C235" s="8" t="s">
        <v>2212</v>
      </c>
    </row>
    <row r="236" spans="1:3" x14ac:dyDescent="0.2">
      <c r="A236" s="12">
        <v>235</v>
      </c>
      <c r="B236" s="8" t="s">
        <v>107</v>
      </c>
      <c r="C236" s="8" t="s">
        <v>2218</v>
      </c>
    </row>
    <row r="237" spans="1:3" x14ac:dyDescent="0.2">
      <c r="A237" s="12">
        <v>236</v>
      </c>
      <c r="B237" s="8" t="s">
        <v>91</v>
      </c>
      <c r="C237" s="8" t="s">
        <v>2203</v>
      </c>
    </row>
    <row r="238" spans="1:3" x14ac:dyDescent="0.2">
      <c r="A238" s="12">
        <v>237</v>
      </c>
      <c r="B238" s="8" t="s">
        <v>659</v>
      </c>
      <c r="C238" s="8" t="s">
        <v>2204</v>
      </c>
    </row>
    <row r="239" spans="1:3" x14ac:dyDescent="0.2">
      <c r="A239" s="12">
        <v>238</v>
      </c>
      <c r="B239" s="8" t="s">
        <v>81</v>
      </c>
      <c r="C239" s="8" t="s">
        <v>2219</v>
      </c>
    </row>
    <row r="240" spans="1:3" x14ac:dyDescent="0.2">
      <c r="A240" s="12">
        <v>239</v>
      </c>
      <c r="B240" s="8" t="s">
        <v>568</v>
      </c>
      <c r="C240" s="8" t="s">
        <v>2202</v>
      </c>
    </row>
    <row r="241" spans="1:3" x14ac:dyDescent="0.2">
      <c r="A241" s="12">
        <v>240</v>
      </c>
      <c r="B241" s="8" t="s">
        <v>602</v>
      </c>
      <c r="C241" s="8" t="s">
        <v>2222</v>
      </c>
    </row>
    <row r="242" spans="1:3" x14ac:dyDescent="0.2">
      <c r="A242" s="12">
        <v>241</v>
      </c>
      <c r="B242" s="8" t="s">
        <v>553</v>
      </c>
      <c r="C242" s="8" t="s">
        <v>2205</v>
      </c>
    </row>
    <row r="243" spans="1:3" x14ac:dyDescent="0.2">
      <c r="A243" s="12">
        <v>242</v>
      </c>
      <c r="B243" s="8" t="s">
        <v>68</v>
      </c>
      <c r="C243" s="8" t="s">
        <v>2200</v>
      </c>
    </row>
    <row r="244" spans="1:3" x14ac:dyDescent="0.2">
      <c r="A244" s="12">
        <v>243</v>
      </c>
      <c r="B244" s="8" t="s">
        <v>169</v>
      </c>
      <c r="C244" s="8" t="s">
        <v>2204</v>
      </c>
    </row>
    <row r="245" spans="1:3" x14ac:dyDescent="0.2">
      <c r="A245" s="12">
        <v>244</v>
      </c>
      <c r="B245" s="8" t="s">
        <v>170</v>
      </c>
      <c r="C245" s="8" t="s">
        <v>2200</v>
      </c>
    </row>
    <row r="246" spans="1:3" x14ac:dyDescent="0.2">
      <c r="A246" s="12">
        <v>245</v>
      </c>
      <c r="B246" s="8" t="s">
        <v>381</v>
      </c>
      <c r="C246" s="8" t="s">
        <v>2220</v>
      </c>
    </row>
    <row r="247" spans="1:3" x14ac:dyDescent="0.2">
      <c r="A247" s="12">
        <v>246</v>
      </c>
      <c r="B247" s="8" t="s">
        <v>157</v>
      </c>
      <c r="C247" s="8" t="s">
        <v>2211</v>
      </c>
    </row>
    <row r="248" spans="1:3" x14ac:dyDescent="0.2">
      <c r="A248" s="12">
        <v>247</v>
      </c>
      <c r="B248" s="8" t="s">
        <v>470</v>
      </c>
      <c r="C248" s="8" t="s">
        <v>2207</v>
      </c>
    </row>
    <row r="249" spans="1:3" x14ac:dyDescent="0.2">
      <c r="A249" s="12">
        <v>248</v>
      </c>
      <c r="B249" s="8" t="s">
        <v>102</v>
      </c>
      <c r="C249" s="8" t="s">
        <v>2196</v>
      </c>
    </row>
    <row r="250" spans="1:3" x14ac:dyDescent="0.2">
      <c r="A250" s="12">
        <v>249</v>
      </c>
      <c r="B250" s="8" t="s">
        <v>117</v>
      </c>
      <c r="C250" s="8" t="s">
        <v>2201</v>
      </c>
    </row>
    <row r="251" spans="1:3" x14ac:dyDescent="0.2">
      <c r="A251" s="12">
        <v>250</v>
      </c>
      <c r="B251" s="8" t="s">
        <v>147</v>
      </c>
      <c r="C251" s="8" t="s">
        <v>2217</v>
      </c>
    </row>
    <row r="252" spans="1:3" x14ac:dyDescent="0.2">
      <c r="A252" s="12">
        <v>251</v>
      </c>
      <c r="B252" s="8" t="s">
        <v>144</v>
      </c>
      <c r="C252" s="8" t="s">
        <v>2211</v>
      </c>
    </row>
    <row r="253" spans="1:3" x14ac:dyDescent="0.2">
      <c r="A253" s="12">
        <v>252</v>
      </c>
      <c r="B253" s="8" t="s">
        <v>676</v>
      </c>
      <c r="C253" s="8" t="s">
        <v>2195</v>
      </c>
    </row>
    <row r="254" spans="1:3" x14ac:dyDescent="0.2">
      <c r="A254" s="12">
        <v>253</v>
      </c>
      <c r="B254" s="8" t="s">
        <v>196</v>
      </c>
      <c r="C254" s="8" t="s">
        <v>2204</v>
      </c>
    </row>
    <row r="255" spans="1:3" x14ac:dyDescent="0.2">
      <c r="A255" s="12">
        <v>254</v>
      </c>
      <c r="B255" s="8" t="s">
        <v>93</v>
      </c>
      <c r="C255" s="8" t="s">
        <v>2203</v>
      </c>
    </row>
    <row r="256" spans="1:3" x14ac:dyDescent="0.2">
      <c r="A256" s="12">
        <v>255</v>
      </c>
      <c r="B256" s="8" t="s">
        <v>362</v>
      </c>
      <c r="C256" s="8" t="s">
        <v>2199</v>
      </c>
    </row>
    <row r="257" spans="1:3" x14ac:dyDescent="0.2">
      <c r="A257" s="12">
        <v>256</v>
      </c>
      <c r="B257" s="8" t="s">
        <v>392</v>
      </c>
      <c r="C257" s="8" t="s">
        <v>2221</v>
      </c>
    </row>
    <row r="258" spans="1:3" x14ac:dyDescent="0.2">
      <c r="A258" s="12">
        <v>257</v>
      </c>
      <c r="B258" s="8" t="s">
        <v>391</v>
      </c>
      <c r="C258" s="8" t="s">
        <v>2217</v>
      </c>
    </row>
    <row r="259" spans="1:3" x14ac:dyDescent="0.2">
      <c r="A259" s="12">
        <v>258</v>
      </c>
      <c r="B259" s="8" t="s">
        <v>406</v>
      </c>
      <c r="C259" s="8" t="s">
        <v>2216</v>
      </c>
    </row>
    <row r="260" spans="1:3" x14ac:dyDescent="0.2">
      <c r="A260" s="12">
        <v>259</v>
      </c>
      <c r="B260" s="8" t="s">
        <v>352</v>
      </c>
      <c r="C260" s="8" t="s">
        <v>2197</v>
      </c>
    </row>
    <row r="261" spans="1:3" x14ac:dyDescent="0.2">
      <c r="A261" s="12">
        <v>260</v>
      </c>
      <c r="B261" s="8" t="s">
        <v>488</v>
      </c>
      <c r="C261" s="8" t="s">
        <v>2201</v>
      </c>
    </row>
    <row r="262" spans="1:3" x14ac:dyDescent="0.2">
      <c r="A262" s="12">
        <v>261</v>
      </c>
      <c r="B262" s="8" t="s">
        <v>108</v>
      </c>
      <c r="C262" s="8" t="s">
        <v>2205</v>
      </c>
    </row>
    <row r="263" spans="1:3" x14ac:dyDescent="0.2">
      <c r="A263" s="12">
        <v>262</v>
      </c>
      <c r="B263" s="8" t="s">
        <v>402</v>
      </c>
      <c r="C263" s="8" t="s">
        <v>2216</v>
      </c>
    </row>
    <row r="264" spans="1:3" x14ac:dyDescent="0.2">
      <c r="A264" s="12">
        <v>263</v>
      </c>
      <c r="B264" s="8" t="s">
        <v>131</v>
      </c>
      <c r="C264" s="8" t="s">
        <v>2200</v>
      </c>
    </row>
    <row r="265" spans="1:3" x14ac:dyDescent="0.2">
      <c r="A265" s="12">
        <v>264</v>
      </c>
      <c r="B265" s="8" t="s">
        <v>83</v>
      </c>
      <c r="C265" s="8" t="s">
        <v>2198</v>
      </c>
    </row>
    <row r="266" spans="1:3" x14ac:dyDescent="0.2">
      <c r="A266" s="12">
        <v>265</v>
      </c>
      <c r="B266" s="8" t="s">
        <v>106</v>
      </c>
      <c r="C266" s="8" t="s">
        <v>2195</v>
      </c>
    </row>
    <row r="267" spans="1:3" x14ac:dyDescent="0.2">
      <c r="A267" s="12">
        <v>266</v>
      </c>
      <c r="B267" s="8" t="s">
        <v>118</v>
      </c>
      <c r="C267" s="8" t="s">
        <v>2195</v>
      </c>
    </row>
    <row r="268" spans="1:3" x14ac:dyDescent="0.2">
      <c r="A268" s="12">
        <v>267</v>
      </c>
      <c r="B268" s="8" t="s">
        <v>145</v>
      </c>
      <c r="C268" s="8" t="s">
        <v>2210</v>
      </c>
    </row>
    <row r="269" spans="1:3" x14ac:dyDescent="0.2">
      <c r="A269" s="12">
        <v>268</v>
      </c>
      <c r="B269" s="8" t="s">
        <v>219</v>
      </c>
      <c r="C269" s="8" t="s">
        <v>2203</v>
      </c>
    </row>
    <row r="270" spans="1:3" x14ac:dyDescent="0.2">
      <c r="A270" s="12">
        <v>269</v>
      </c>
      <c r="B270" s="8" t="s">
        <v>477</v>
      </c>
      <c r="C270" s="8" t="s">
        <v>2220</v>
      </c>
    </row>
    <row r="271" spans="1:3" x14ac:dyDescent="0.2">
      <c r="A271" s="12">
        <v>270</v>
      </c>
      <c r="B271" s="8" t="s">
        <v>364</v>
      </c>
      <c r="C271" s="8" t="s">
        <v>2211</v>
      </c>
    </row>
    <row r="272" spans="1:3" x14ac:dyDescent="0.2">
      <c r="A272" s="12">
        <v>271</v>
      </c>
      <c r="B272" s="8" t="s">
        <v>191</v>
      </c>
      <c r="C272" s="8" t="s">
        <v>2205</v>
      </c>
    </row>
    <row r="273" spans="1:3" x14ac:dyDescent="0.2">
      <c r="A273" s="12">
        <v>272</v>
      </c>
      <c r="B273" s="8" t="s">
        <v>109</v>
      </c>
      <c r="C273" s="8" t="s">
        <v>2202</v>
      </c>
    </row>
    <row r="274" spans="1:3" x14ac:dyDescent="0.2">
      <c r="A274" s="12">
        <v>273</v>
      </c>
      <c r="B274" s="8" t="s">
        <v>680</v>
      </c>
      <c r="C274" s="8" t="s">
        <v>2203</v>
      </c>
    </row>
    <row r="275" spans="1:3" x14ac:dyDescent="0.2">
      <c r="A275" s="12">
        <v>274</v>
      </c>
      <c r="B275" s="8" t="s">
        <v>84</v>
      </c>
      <c r="C275" s="8" t="s">
        <v>2198</v>
      </c>
    </row>
    <row r="276" spans="1:3" x14ac:dyDescent="0.2">
      <c r="A276" s="12">
        <v>275</v>
      </c>
      <c r="B276" s="8" t="s">
        <v>436</v>
      </c>
      <c r="C276" s="8" t="s">
        <v>2223</v>
      </c>
    </row>
    <row r="277" spans="1:3" x14ac:dyDescent="0.2">
      <c r="A277" s="12">
        <v>276</v>
      </c>
      <c r="B277" s="8" t="s">
        <v>405</v>
      </c>
      <c r="C277" s="8" t="s">
        <v>2195</v>
      </c>
    </row>
    <row r="278" spans="1:3" x14ac:dyDescent="0.2">
      <c r="A278" s="12">
        <v>277</v>
      </c>
      <c r="B278" s="8" t="s">
        <v>529</v>
      </c>
      <c r="C278" s="8" t="s">
        <v>2197</v>
      </c>
    </row>
    <row r="279" spans="1:3" x14ac:dyDescent="0.2">
      <c r="A279" s="12">
        <v>278</v>
      </c>
      <c r="B279" s="8" t="s">
        <v>566</v>
      </c>
      <c r="C279" s="8" t="s">
        <v>2215</v>
      </c>
    </row>
    <row r="280" spans="1:3" x14ac:dyDescent="0.2">
      <c r="A280" s="12">
        <v>279</v>
      </c>
      <c r="B280" s="8" t="s">
        <v>351</v>
      </c>
      <c r="C280" s="8" t="s">
        <v>2210</v>
      </c>
    </row>
    <row r="281" spans="1:3" x14ac:dyDescent="0.2">
      <c r="A281" s="12">
        <v>280</v>
      </c>
      <c r="B281" s="8" t="s">
        <v>120</v>
      </c>
      <c r="C281" s="8" t="s">
        <v>2196</v>
      </c>
    </row>
    <row r="282" spans="1:3" x14ac:dyDescent="0.2">
      <c r="A282" s="12">
        <v>281</v>
      </c>
      <c r="B282" s="8" t="s">
        <v>151</v>
      </c>
      <c r="C282" s="8" t="s">
        <v>2197</v>
      </c>
    </row>
    <row r="283" spans="1:3" x14ac:dyDescent="0.2">
      <c r="A283" s="12">
        <v>282</v>
      </c>
      <c r="B283" s="8" t="s">
        <v>565</v>
      </c>
      <c r="C283" s="8" t="s">
        <v>2199</v>
      </c>
    </row>
    <row r="284" spans="1:3" x14ac:dyDescent="0.2">
      <c r="A284" s="12">
        <v>283</v>
      </c>
      <c r="B284" s="8" t="s">
        <v>487</v>
      </c>
      <c r="C284" s="8" t="s">
        <v>2214</v>
      </c>
    </row>
    <row r="285" spans="1:3" x14ac:dyDescent="0.2">
      <c r="A285" s="12">
        <v>284</v>
      </c>
      <c r="B285" s="8" t="s">
        <v>365</v>
      </c>
      <c r="C285" s="8" t="s">
        <v>2213</v>
      </c>
    </row>
    <row r="286" spans="1:3" x14ac:dyDescent="0.2">
      <c r="A286" s="12">
        <v>285</v>
      </c>
      <c r="B286" s="8" t="s">
        <v>633</v>
      </c>
      <c r="C286" s="8" t="s">
        <v>2217</v>
      </c>
    </row>
    <row r="287" spans="1:3" x14ac:dyDescent="0.2">
      <c r="A287" s="12">
        <v>286</v>
      </c>
      <c r="B287" s="8" t="s">
        <v>682</v>
      </c>
      <c r="C287" s="8" t="s">
        <v>2196</v>
      </c>
    </row>
    <row r="288" spans="1:3" x14ac:dyDescent="0.2">
      <c r="A288" s="12">
        <v>287</v>
      </c>
      <c r="B288" s="8" t="s">
        <v>393</v>
      </c>
      <c r="C288" s="8" t="s">
        <v>2218</v>
      </c>
    </row>
    <row r="289" spans="1:3" x14ac:dyDescent="0.2">
      <c r="A289" s="12">
        <v>288</v>
      </c>
      <c r="B289" s="8" t="s">
        <v>132</v>
      </c>
      <c r="C289" s="8" t="s">
        <v>2216</v>
      </c>
    </row>
    <row r="290" spans="1:3" x14ac:dyDescent="0.2">
      <c r="A290" s="12">
        <v>289</v>
      </c>
      <c r="B290" s="8" t="s">
        <v>105</v>
      </c>
      <c r="C290" s="8" t="s">
        <v>2223</v>
      </c>
    </row>
    <row r="291" spans="1:3" x14ac:dyDescent="0.2">
      <c r="A291" s="12">
        <v>290</v>
      </c>
      <c r="B291" s="8" t="s">
        <v>482</v>
      </c>
      <c r="C291" s="8" t="s">
        <v>2219</v>
      </c>
    </row>
    <row r="292" spans="1:3" x14ac:dyDescent="0.2">
      <c r="A292" s="12">
        <v>291</v>
      </c>
      <c r="B292" s="8" t="s">
        <v>134</v>
      </c>
      <c r="C292" s="8" t="s">
        <v>2218</v>
      </c>
    </row>
    <row r="293" spans="1:3" x14ac:dyDescent="0.2">
      <c r="A293" s="12">
        <v>292</v>
      </c>
      <c r="B293" s="8" t="s">
        <v>152</v>
      </c>
      <c r="C293" s="8" t="s">
        <v>2207</v>
      </c>
    </row>
    <row r="294" spans="1:3" x14ac:dyDescent="0.2">
      <c r="A294" s="12">
        <v>293</v>
      </c>
      <c r="B294" s="8" t="s">
        <v>133</v>
      </c>
      <c r="C294" s="8" t="s">
        <v>2202</v>
      </c>
    </row>
    <row r="295" spans="1:3" x14ac:dyDescent="0.2">
      <c r="A295" s="12">
        <v>294</v>
      </c>
      <c r="B295" s="8" t="s">
        <v>404</v>
      </c>
      <c r="C295" s="8" t="s">
        <v>2208</v>
      </c>
    </row>
    <row r="296" spans="1:3" x14ac:dyDescent="0.2">
      <c r="A296" s="12">
        <v>295</v>
      </c>
      <c r="B296" s="8" t="s">
        <v>119</v>
      </c>
      <c r="C296" s="8" t="s">
        <v>2212</v>
      </c>
    </row>
    <row r="297" spans="1:3" x14ac:dyDescent="0.2">
      <c r="A297" s="12">
        <v>296</v>
      </c>
      <c r="B297" s="8" t="s">
        <v>507</v>
      </c>
      <c r="C297" s="8" t="s">
        <v>2222</v>
      </c>
    </row>
    <row r="298" spans="1:3" x14ac:dyDescent="0.2">
      <c r="A298" s="12">
        <v>297</v>
      </c>
      <c r="B298" s="8" t="s">
        <v>173</v>
      </c>
      <c r="C298" s="8" t="s">
        <v>2220</v>
      </c>
    </row>
    <row r="299" spans="1:3" x14ac:dyDescent="0.2">
      <c r="A299" s="12">
        <v>298</v>
      </c>
      <c r="B299" s="8" t="s">
        <v>221</v>
      </c>
      <c r="C299" s="8" t="s">
        <v>2198</v>
      </c>
    </row>
    <row r="300" spans="1:3" x14ac:dyDescent="0.2">
      <c r="A300" s="12">
        <v>299</v>
      </c>
      <c r="B300" s="8" t="s">
        <v>175</v>
      </c>
      <c r="C300" s="8" t="s">
        <v>2197</v>
      </c>
    </row>
    <row r="301" spans="1:3" x14ac:dyDescent="0.2">
      <c r="A301" s="12">
        <v>300</v>
      </c>
      <c r="B301" s="8" t="s">
        <v>180</v>
      </c>
      <c r="C301" s="8" t="s">
        <v>2196</v>
      </c>
    </row>
    <row r="302" spans="1:3" x14ac:dyDescent="0.2">
      <c r="A302" s="12">
        <v>301</v>
      </c>
      <c r="B302" s="8" t="s">
        <v>422</v>
      </c>
      <c r="C302" s="8" t="s">
        <v>2210</v>
      </c>
    </row>
    <row r="303" spans="1:3" x14ac:dyDescent="0.2">
      <c r="A303" s="12">
        <v>302</v>
      </c>
      <c r="B303" s="8" t="s">
        <v>377</v>
      </c>
      <c r="C303" s="8" t="s">
        <v>2219</v>
      </c>
    </row>
    <row r="304" spans="1:3" x14ac:dyDescent="0.2">
      <c r="A304" s="12">
        <v>303</v>
      </c>
      <c r="B304" s="8" t="s">
        <v>407</v>
      </c>
      <c r="C304" s="8" t="s">
        <v>2209</v>
      </c>
    </row>
    <row r="305" spans="1:3" x14ac:dyDescent="0.2">
      <c r="A305" s="12">
        <v>304</v>
      </c>
      <c r="B305" s="8" t="s">
        <v>375</v>
      </c>
      <c r="C305" s="8" t="s">
        <v>2198</v>
      </c>
    </row>
    <row r="306" spans="1:3" x14ac:dyDescent="0.2">
      <c r="A306" s="12">
        <v>305</v>
      </c>
      <c r="B306" s="8" t="s">
        <v>522</v>
      </c>
      <c r="C306" s="8" t="s">
        <v>2206</v>
      </c>
    </row>
    <row r="307" spans="1:3" x14ac:dyDescent="0.2">
      <c r="A307" s="12">
        <v>306</v>
      </c>
      <c r="B307" s="8" t="s">
        <v>197</v>
      </c>
      <c r="C307" s="8" t="s">
        <v>2208</v>
      </c>
    </row>
    <row r="308" spans="1:3" x14ac:dyDescent="0.2">
      <c r="A308" s="12">
        <v>307</v>
      </c>
      <c r="B308" s="8" t="s">
        <v>385</v>
      </c>
      <c r="C308" s="8" t="s">
        <v>2212</v>
      </c>
    </row>
    <row r="309" spans="1:3" x14ac:dyDescent="0.2">
      <c r="A309" s="12">
        <v>308</v>
      </c>
      <c r="B309" s="8" t="s">
        <v>181</v>
      </c>
      <c r="C309" s="8" t="s">
        <v>2208</v>
      </c>
    </row>
    <row r="310" spans="1:3" x14ac:dyDescent="0.2">
      <c r="A310" s="12">
        <v>309</v>
      </c>
      <c r="B310" s="8" t="s">
        <v>110</v>
      </c>
      <c r="C310" s="8" t="s">
        <v>2223</v>
      </c>
    </row>
    <row r="311" spans="1:3" x14ac:dyDescent="0.2">
      <c r="A311" s="12">
        <v>310</v>
      </c>
      <c r="B311" s="8" t="s">
        <v>662</v>
      </c>
      <c r="C311" s="8" t="s">
        <v>2199</v>
      </c>
    </row>
    <row r="312" spans="1:3" x14ac:dyDescent="0.2">
      <c r="A312" s="12">
        <v>311</v>
      </c>
      <c r="B312" s="8" t="s">
        <v>635</v>
      </c>
      <c r="C312" s="8" t="s">
        <v>2220</v>
      </c>
    </row>
    <row r="313" spans="1:3" x14ac:dyDescent="0.2">
      <c r="A313" s="12">
        <v>312</v>
      </c>
      <c r="B313" s="8" t="s">
        <v>652</v>
      </c>
      <c r="C313" s="8" t="s">
        <v>2203</v>
      </c>
    </row>
    <row r="314" spans="1:3" x14ac:dyDescent="0.2">
      <c r="A314" s="12">
        <v>313</v>
      </c>
      <c r="B314" s="8" t="s">
        <v>176</v>
      </c>
      <c r="C314" s="8" t="s">
        <v>2201</v>
      </c>
    </row>
    <row r="315" spans="1:3" x14ac:dyDescent="0.2">
      <c r="A315" s="12">
        <v>314</v>
      </c>
      <c r="B315" s="8" t="s">
        <v>172</v>
      </c>
      <c r="C315" s="8" t="s">
        <v>2216</v>
      </c>
    </row>
    <row r="316" spans="1:3" x14ac:dyDescent="0.2">
      <c r="A316" s="12">
        <v>315</v>
      </c>
      <c r="B316" s="8" t="s">
        <v>194</v>
      </c>
      <c r="C316" s="8" t="s">
        <v>2219</v>
      </c>
    </row>
    <row r="317" spans="1:3" x14ac:dyDescent="0.2">
      <c r="A317" s="12">
        <v>316</v>
      </c>
      <c r="B317" s="8" t="s">
        <v>199</v>
      </c>
      <c r="C317" s="8" t="s">
        <v>2216</v>
      </c>
    </row>
    <row r="318" spans="1:3" x14ac:dyDescent="0.2">
      <c r="A318" s="12">
        <v>317</v>
      </c>
      <c r="B318" s="8" t="s">
        <v>421</v>
      </c>
      <c r="C318" s="8" t="s">
        <v>2212</v>
      </c>
    </row>
    <row r="319" spans="1:3" x14ac:dyDescent="0.2">
      <c r="A319" s="12">
        <v>318</v>
      </c>
      <c r="B319" s="8" t="s">
        <v>383</v>
      </c>
      <c r="C319" s="8" t="s">
        <v>2215</v>
      </c>
    </row>
    <row r="320" spans="1:3" x14ac:dyDescent="0.2">
      <c r="A320" s="12">
        <v>319</v>
      </c>
      <c r="B320" s="8" t="s">
        <v>121</v>
      </c>
      <c r="C320" s="8" t="s">
        <v>2224</v>
      </c>
    </row>
    <row r="321" spans="1:3" x14ac:dyDescent="0.2">
      <c r="A321" s="12">
        <v>320</v>
      </c>
      <c r="B321" s="8" t="s">
        <v>489</v>
      </c>
      <c r="C321" s="8" t="s">
        <v>2221</v>
      </c>
    </row>
    <row r="322" spans="1:3" x14ac:dyDescent="0.2">
      <c r="A322" s="12">
        <v>321</v>
      </c>
      <c r="B322" s="8" t="s">
        <v>556</v>
      </c>
      <c r="C322" s="8" t="s">
        <v>2198</v>
      </c>
    </row>
    <row r="323" spans="1:3" x14ac:dyDescent="0.2">
      <c r="A323" s="12">
        <v>322</v>
      </c>
      <c r="B323" s="8" t="s">
        <v>178</v>
      </c>
      <c r="C323" s="8" t="s">
        <v>2224</v>
      </c>
    </row>
    <row r="324" spans="1:3" x14ac:dyDescent="0.2">
      <c r="A324" s="12">
        <v>323</v>
      </c>
      <c r="B324" s="8" t="s">
        <v>574</v>
      </c>
      <c r="C324" s="8" t="s">
        <v>2215</v>
      </c>
    </row>
    <row r="325" spans="1:3" x14ac:dyDescent="0.2">
      <c r="A325" s="12">
        <v>324</v>
      </c>
      <c r="B325" s="8" t="s">
        <v>155</v>
      </c>
      <c r="C325" s="8" t="s">
        <v>2207</v>
      </c>
    </row>
    <row r="326" spans="1:3" x14ac:dyDescent="0.2">
      <c r="A326" s="12">
        <v>325</v>
      </c>
      <c r="B326" s="8" t="s">
        <v>224</v>
      </c>
      <c r="C326" s="8" t="s">
        <v>2216</v>
      </c>
    </row>
    <row r="327" spans="1:3" x14ac:dyDescent="0.2">
      <c r="A327" s="12">
        <v>326</v>
      </c>
      <c r="B327" s="8" t="s">
        <v>222</v>
      </c>
      <c r="C327" s="8" t="s">
        <v>2201</v>
      </c>
    </row>
    <row r="328" spans="1:3" x14ac:dyDescent="0.2">
      <c r="A328" s="12">
        <v>327</v>
      </c>
      <c r="B328" s="8" t="s">
        <v>408</v>
      </c>
      <c r="C328" s="8" t="s">
        <v>2222</v>
      </c>
    </row>
    <row r="329" spans="1:3" x14ac:dyDescent="0.2">
      <c r="A329" s="12">
        <v>328</v>
      </c>
      <c r="B329" s="8" t="s">
        <v>150</v>
      </c>
      <c r="C329" s="8" t="s">
        <v>2217</v>
      </c>
    </row>
    <row r="330" spans="1:3" x14ac:dyDescent="0.2">
      <c r="A330" s="12">
        <v>329</v>
      </c>
      <c r="B330" s="8" t="s">
        <v>607</v>
      </c>
      <c r="C330" s="8" t="s">
        <v>2208</v>
      </c>
    </row>
    <row r="331" spans="1:3" x14ac:dyDescent="0.2">
      <c r="A331" s="12">
        <v>330</v>
      </c>
      <c r="B331" s="8" t="s">
        <v>411</v>
      </c>
      <c r="C331" s="8" t="s">
        <v>2199</v>
      </c>
    </row>
    <row r="332" spans="1:3" x14ac:dyDescent="0.2">
      <c r="A332" s="12">
        <v>331</v>
      </c>
      <c r="B332" s="8" t="s">
        <v>153</v>
      </c>
      <c r="C332" s="8" t="s">
        <v>2215</v>
      </c>
    </row>
    <row r="333" spans="1:3" x14ac:dyDescent="0.2">
      <c r="A333" s="12">
        <v>332</v>
      </c>
      <c r="B333" s="8" t="s">
        <v>394</v>
      </c>
      <c r="C333" s="8" t="s">
        <v>2219</v>
      </c>
    </row>
    <row r="334" spans="1:3" x14ac:dyDescent="0.2">
      <c r="A334" s="12">
        <v>333</v>
      </c>
      <c r="B334" s="8" t="s">
        <v>641</v>
      </c>
      <c r="C334" s="8" t="s">
        <v>2211</v>
      </c>
    </row>
    <row r="335" spans="1:3" x14ac:dyDescent="0.2">
      <c r="A335" s="12">
        <v>334</v>
      </c>
      <c r="B335" s="8" t="s">
        <v>438</v>
      </c>
      <c r="C335" s="8" t="s">
        <v>2201</v>
      </c>
    </row>
    <row r="336" spans="1:3" x14ac:dyDescent="0.2">
      <c r="A336" s="12">
        <v>335</v>
      </c>
      <c r="B336" s="8" t="s">
        <v>409</v>
      </c>
      <c r="C336" s="8" t="s">
        <v>2218</v>
      </c>
    </row>
    <row r="337" spans="1:3" x14ac:dyDescent="0.2">
      <c r="A337" s="12">
        <v>336</v>
      </c>
      <c r="B337" s="8" t="s">
        <v>154</v>
      </c>
      <c r="C337" s="8" t="s">
        <v>2213</v>
      </c>
    </row>
    <row r="338" spans="1:3" x14ac:dyDescent="0.2">
      <c r="A338" s="12">
        <v>337</v>
      </c>
      <c r="B338" s="8" t="s">
        <v>137</v>
      </c>
      <c r="C338" s="8" t="s">
        <v>2210</v>
      </c>
    </row>
    <row r="339" spans="1:3" x14ac:dyDescent="0.2">
      <c r="A339" s="12">
        <v>338</v>
      </c>
      <c r="B339" s="8" t="s">
        <v>123</v>
      </c>
      <c r="C339" s="8" t="s">
        <v>2219</v>
      </c>
    </row>
    <row r="340" spans="1:3" x14ac:dyDescent="0.2">
      <c r="A340" s="12">
        <v>339</v>
      </c>
      <c r="B340" s="8" t="s">
        <v>630</v>
      </c>
      <c r="C340" s="8" t="s">
        <v>2199</v>
      </c>
    </row>
    <row r="341" spans="1:3" x14ac:dyDescent="0.2">
      <c r="A341" s="12">
        <v>340</v>
      </c>
      <c r="B341" s="8" t="s">
        <v>667</v>
      </c>
      <c r="C341" s="8" t="s">
        <v>2222</v>
      </c>
    </row>
    <row r="342" spans="1:3" x14ac:dyDescent="0.2">
      <c r="A342" s="12">
        <v>341</v>
      </c>
      <c r="B342" s="8" t="s">
        <v>228</v>
      </c>
      <c r="C342" s="8" t="s">
        <v>2222</v>
      </c>
    </row>
    <row r="343" spans="1:3" x14ac:dyDescent="0.2">
      <c r="A343" s="12">
        <v>342</v>
      </c>
      <c r="B343" s="8" t="s">
        <v>226</v>
      </c>
      <c r="C343" s="8" t="s">
        <v>2214</v>
      </c>
    </row>
    <row r="344" spans="1:3" x14ac:dyDescent="0.2">
      <c r="A344" s="12">
        <v>343</v>
      </c>
      <c r="B344" s="8" t="s">
        <v>440</v>
      </c>
      <c r="C344" s="8" t="s">
        <v>2223</v>
      </c>
    </row>
    <row r="345" spans="1:3" x14ac:dyDescent="0.2">
      <c r="A345" s="12">
        <v>344</v>
      </c>
      <c r="B345" s="8" t="s">
        <v>174</v>
      </c>
      <c r="C345" s="8" t="s">
        <v>2222</v>
      </c>
    </row>
    <row r="346" spans="1:3" x14ac:dyDescent="0.2">
      <c r="A346" s="12">
        <v>345</v>
      </c>
      <c r="B346" s="8" t="s">
        <v>396</v>
      </c>
      <c r="C346" s="8" t="s">
        <v>2214</v>
      </c>
    </row>
    <row r="347" spans="1:3" x14ac:dyDescent="0.2">
      <c r="A347" s="12">
        <v>346</v>
      </c>
      <c r="B347" s="8" t="s">
        <v>262</v>
      </c>
      <c r="C347" s="8" t="s">
        <v>2215</v>
      </c>
    </row>
    <row r="348" spans="1:3" x14ac:dyDescent="0.2">
      <c r="A348" s="12">
        <v>347</v>
      </c>
      <c r="B348" s="8" t="s">
        <v>387</v>
      </c>
      <c r="C348" s="8" t="s">
        <v>2211</v>
      </c>
    </row>
    <row r="349" spans="1:3" x14ac:dyDescent="0.2">
      <c r="A349" s="12">
        <v>348</v>
      </c>
      <c r="B349" s="8" t="s">
        <v>179</v>
      </c>
      <c r="C349" s="8" t="s">
        <v>2223</v>
      </c>
    </row>
    <row r="350" spans="1:3" x14ac:dyDescent="0.2">
      <c r="A350" s="12">
        <v>349</v>
      </c>
      <c r="B350" s="8" t="s">
        <v>616</v>
      </c>
      <c r="C350" s="8" t="s">
        <v>2205</v>
      </c>
    </row>
    <row r="351" spans="1:3" x14ac:dyDescent="0.2">
      <c r="A351" s="12">
        <v>350</v>
      </c>
      <c r="B351" s="8" t="s">
        <v>494</v>
      </c>
      <c r="C351" s="8" t="s">
        <v>2195</v>
      </c>
    </row>
    <row r="352" spans="1:3" x14ac:dyDescent="0.2">
      <c r="A352" s="12">
        <v>351</v>
      </c>
      <c r="B352" s="8" t="s">
        <v>410</v>
      </c>
      <c r="C352" s="8" t="s">
        <v>2196</v>
      </c>
    </row>
    <row r="353" spans="1:3" x14ac:dyDescent="0.2">
      <c r="A353" s="12">
        <v>352</v>
      </c>
      <c r="B353" s="8" t="s">
        <v>188</v>
      </c>
      <c r="C353" s="8" t="s">
        <v>2195</v>
      </c>
    </row>
    <row r="354" spans="1:3" x14ac:dyDescent="0.2">
      <c r="A354" s="12">
        <v>353</v>
      </c>
      <c r="B354" s="8" t="s">
        <v>495</v>
      </c>
      <c r="C354" s="8" t="s">
        <v>2215</v>
      </c>
    </row>
    <row r="355" spans="1:3" x14ac:dyDescent="0.2">
      <c r="A355" s="12">
        <v>354</v>
      </c>
      <c r="B355" s="8" t="s">
        <v>177</v>
      </c>
      <c r="C355" s="8" t="s">
        <v>2196</v>
      </c>
    </row>
    <row r="356" spans="1:3" x14ac:dyDescent="0.2">
      <c r="A356" s="12">
        <v>355</v>
      </c>
      <c r="B356" s="8" t="s">
        <v>491</v>
      </c>
      <c r="C356" s="8" t="s">
        <v>2206</v>
      </c>
    </row>
    <row r="357" spans="1:3" x14ac:dyDescent="0.2">
      <c r="A357" s="12">
        <v>356</v>
      </c>
      <c r="B357" s="8" t="s">
        <v>624</v>
      </c>
      <c r="C357" s="8" t="s">
        <v>2216</v>
      </c>
    </row>
    <row r="358" spans="1:3" x14ac:dyDescent="0.2">
      <c r="A358" s="12">
        <v>357</v>
      </c>
      <c r="B358" s="8" t="s">
        <v>493</v>
      </c>
      <c r="C358" s="8" t="s">
        <v>2206</v>
      </c>
    </row>
    <row r="359" spans="1:3" x14ac:dyDescent="0.2">
      <c r="A359" s="12">
        <v>358</v>
      </c>
      <c r="B359" s="8" t="s">
        <v>423</v>
      </c>
      <c r="C359" s="8" t="s">
        <v>2205</v>
      </c>
    </row>
    <row r="360" spans="1:3" x14ac:dyDescent="0.2">
      <c r="A360" s="12">
        <v>359</v>
      </c>
      <c r="B360" s="8" t="s">
        <v>575</v>
      </c>
      <c r="C360" s="8" t="s">
        <v>2210</v>
      </c>
    </row>
    <row r="361" spans="1:3" x14ac:dyDescent="0.2">
      <c r="A361" s="12">
        <v>360</v>
      </c>
      <c r="B361" s="8" t="s">
        <v>439</v>
      </c>
      <c r="C361" s="8" t="s">
        <v>2216</v>
      </c>
    </row>
    <row r="362" spans="1:3" x14ac:dyDescent="0.2">
      <c r="A362" s="12">
        <v>361</v>
      </c>
      <c r="B362" s="8" t="s">
        <v>156</v>
      </c>
      <c r="C362" s="8" t="s">
        <v>2222</v>
      </c>
    </row>
    <row r="363" spans="1:3" x14ac:dyDescent="0.2">
      <c r="A363" s="12">
        <v>362</v>
      </c>
      <c r="B363" s="8" t="s">
        <v>183</v>
      </c>
      <c r="C363" s="8" t="s">
        <v>2220</v>
      </c>
    </row>
    <row r="364" spans="1:3" x14ac:dyDescent="0.2">
      <c r="A364" s="12">
        <v>363</v>
      </c>
      <c r="B364" s="8" t="s">
        <v>686</v>
      </c>
      <c r="C364" s="8" t="s">
        <v>2210</v>
      </c>
    </row>
    <row r="365" spans="1:3" x14ac:dyDescent="0.2">
      <c r="A365" s="12">
        <v>364</v>
      </c>
      <c r="B365" s="8" t="s">
        <v>163</v>
      </c>
      <c r="C365" s="8" t="s">
        <v>2222</v>
      </c>
    </row>
    <row r="366" spans="1:3" x14ac:dyDescent="0.2">
      <c r="A366" s="12">
        <v>365</v>
      </c>
      <c r="B366" s="8" t="s">
        <v>415</v>
      </c>
      <c r="C366" s="8" t="s">
        <v>2203</v>
      </c>
    </row>
    <row r="367" spans="1:3" x14ac:dyDescent="0.2">
      <c r="A367" s="12">
        <v>366</v>
      </c>
      <c r="B367" s="8" t="s">
        <v>441</v>
      </c>
      <c r="C367" s="8" t="s">
        <v>2196</v>
      </c>
    </row>
    <row r="368" spans="1:3" x14ac:dyDescent="0.2">
      <c r="A368" s="12">
        <v>367</v>
      </c>
      <c r="B368" s="8" t="s">
        <v>395</v>
      </c>
      <c r="C368" s="8" t="s">
        <v>2218</v>
      </c>
    </row>
    <row r="369" spans="1:3" x14ac:dyDescent="0.2">
      <c r="A369" s="12">
        <v>368</v>
      </c>
      <c r="B369" s="8" t="s">
        <v>413</v>
      </c>
      <c r="C369" s="8" t="s">
        <v>2213</v>
      </c>
    </row>
    <row r="370" spans="1:3" x14ac:dyDescent="0.2">
      <c r="A370" s="12">
        <v>369</v>
      </c>
      <c r="B370" s="8" t="s">
        <v>223</v>
      </c>
      <c r="C370" s="8" t="s">
        <v>2200</v>
      </c>
    </row>
    <row r="371" spans="1:3" x14ac:dyDescent="0.2">
      <c r="A371" s="12">
        <v>370</v>
      </c>
      <c r="B371" s="8" t="s">
        <v>618</v>
      </c>
      <c r="C371" s="8" t="s">
        <v>2210</v>
      </c>
    </row>
    <row r="372" spans="1:3" x14ac:dyDescent="0.2">
      <c r="A372" s="12">
        <v>371</v>
      </c>
      <c r="B372" s="8" t="s">
        <v>212</v>
      </c>
      <c r="C372" s="8" t="s">
        <v>2209</v>
      </c>
    </row>
    <row r="373" spans="1:3" x14ac:dyDescent="0.2">
      <c r="A373" s="12">
        <v>372</v>
      </c>
      <c r="B373" s="8" t="s">
        <v>225</v>
      </c>
      <c r="C373" s="8" t="s">
        <v>2209</v>
      </c>
    </row>
    <row r="374" spans="1:3" x14ac:dyDescent="0.2">
      <c r="A374" s="12">
        <v>373</v>
      </c>
      <c r="B374" s="8" t="s">
        <v>437</v>
      </c>
      <c r="C374" s="8" t="s">
        <v>2223</v>
      </c>
    </row>
    <row r="375" spans="1:3" x14ac:dyDescent="0.2">
      <c r="A375" s="12">
        <v>374</v>
      </c>
      <c r="B375" s="8" t="s">
        <v>136</v>
      </c>
      <c r="C375" s="8" t="s">
        <v>2224</v>
      </c>
    </row>
    <row r="376" spans="1:3" x14ac:dyDescent="0.2">
      <c r="A376" s="12">
        <v>375</v>
      </c>
      <c r="B376" s="8" t="s">
        <v>554</v>
      </c>
      <c r="C376" s="8" t="s">
        <v>2223</v>
      </c>
    </row>
    <row r="377" spans="1:3" x14ac:dyDescent="0.2">
      <c r="A377" s="12">
        <v>376</v>
      </c>
      <c r="B377" s="8" t="s">
        <v>590</v>
      </c>
      <c r="C377" s="8" t="s">
        <v>2211</v>
      </c>
    </row>
    <row r="378" spans="1:3" x14ac:dyDescent="0.2">
      <c r="A378" s="12">
        <v>377</v>
      </c>
      <c r="B378" s="8" t="s">
        <v>265</v>
      </c>
      <c r="C378" s="8" t="s">
        <v>2204</v>
      </c>
    </row>
    <row r="379" spans="1:3" x14ac:dyDescent="0.2">
      <c r="A379" s="12">
        <v>378</v>
      </c>
      <c r="B379" s="8" t="s">
        <v>185</v>
      </c>
      <c r="C379" s="8" t="s">
        <v>2215</v>
      </c>
    </row>
    <row r="380" spans="1:3" x14ac:dyDescent="0.2">
      <c r="A380" s="12">
        <v>379</v>
      </c>
      <c r="B380" s="8" t="s">
        <v>425</v>
      </c>
      <c r="C380" s="8" t="s">
        <v>2203</v>
      </c>
    </row>
    <row r="381" spans="1:3" x14ac:dyDescent="0.2">
      <c r="A381" s="12">
        <v>380</v>
      </c>
      <c r="B381" s="8" t="s">
        <v>412</v>
      </c>
      <c r="C381" s="8" t="s">
        <v>2208</v>
      </c>
    </row>
    <row r="382" spans="1:3" x14ac:dyDescent="0.2">
      <c r="A382" s="12">
        <v>381</v>
      </c>
      <c r="B382" s="8" t="s">
        <v>485</v>
      </c>
      <c r="C382" s="8" t="s">
        <v>2206</v>
      </c>
    </row>
    <row r="383" spans="1:3" x14ac:dyDescent="0.2">
      <c r="A383" s="12">
        <v>382</v>
      </c>
      <c r="B383" s="8" t="s">
        <v>186</v>
      </c>
      <c r="C383" s="8" t="s">
        <v>2198</v>
      </c>
    </row>
    <row r="384" spans="1:3" x14ac:dyDescent="0.2">
      <c r="A384" s="12">
        <v>383</v>
      </c>
      <c r="B384" s="8" t="s">
        <v>503</v>
      </c>
      <c r="C384" s="8" t="s">
        <v>2201</v>
      </c>
    </row>
    <row r="385" spans="1:3" x14ac:dyDescent="0.2">
      <c r="A385" s="12">
        <v>384</v>
      </c>
      <c r="B385" s="8" t="s">
        <v>209</v>
      </c>
      <c r="C385" s="8" t="s">
        <v>2198</v>
      </c>
    </row>
    <row r="386" spans="1:3" x14ac:dyDescent="0.2">
      <c r="A386" s="12">
        <v>385</v>
      </c>
      <c r="B386" s="8" t="s">
        <v>424</v>
      </c>
      <c r="C386" s="8" t="s">
        <v>2215</v>
      </c>
    </row>
    <row r="387" spans="1:3" x14ac:dyDescent="0.2">
      <c r="A387" s="12">
        <v>386</v>
      </c>
      <c r="B387" s="8" t="s">
        <v>135</v>
      </c>
      <c r="C387" s="8" t="s">
        <v>2221</v>
      </c>
    </row>
    <row r="388" spans="1:3" x14ac:dyDescent="0.2">
      <c r="A388" s="12">
        <v>387</v>
      </c>
      <c r="B388" s="8" t="s">
        <v>266</v>
      </c>
      <c r="C388" s="8" t="s">
        <v>2204</v>
      </c>
    </row>
    <row r="389" spans="1:3" x14ac:dyDescent="0.2">
      <c r="A389" s="12">
        <v>388</v>
      </c>
      <c r="B389" s="8" t="s">
        <v>501</v>
      </c>
      <c r="C389" s="8" t="s">
        <v>2204</v>
      </c>
    </row>
    <row r="390" spans="1:3" x14ac:dyDescent="0.2">
      <c r="A390" s="12">
        <v>389</v>
      </c>
      <c r="B390" s="8" t="s">
        <v>160</v>
      </c>
      <c r="C390" s="8" t="s">
        <v>2203</v>
      </c>
    </row>
    <row r="391" spans="1:3" x14ac:dyDescent="0.2">
      <c r="A391" s="12">
        <v>390</v>
      </c>
      <c r="B391" s="8" t="s">
        <v>648</v>
      </c>
      <c r="C391" s="8" t="s">
        <v>2219</v>
      </c>
    </row>
    <row r="392" spans="1:3" x14ac:dyDescent="0.2">
      <c r="A392" s="12">
        <v>391</v>
      </c>
      <c r="B392" s="8" t="s">
        <v>497</v>
      </c>
      <c r="C392" s="8" t="s">
        <v>2216</v>
      </c>
    </row>
    <row r="393" spans="1:3" x14ac:dyDescent="0.2">
      <c r="A393" s="12">
        <v>392</v>
      </c>
      <c r="B393" s="8" t="s">
        <v>263</v>
      </c>
      <c r="C393" s="8" t="s">
        <v>2221</v>
      </c>
    </row>
    <row r="394" spans="1:3" x14ac:dyDescent="0.2">
      <c r="A394" s="12">
        <v>393</v>
      </c>
      <c r="B394" s="8" t="s">
        <v>159</v>
      </c>
      <c r="C394" s="8" t="s">
        <v>2200</v>
      </c>
    </row>
    <row r="395" spans="1:3" x14ac:dyDescent="0.2">
      <c r="A395" s="12">
        <v>394</v>
      </c>
      <c r="B395" s="8" t="s">
        <v>229</v>
      </c>
      <c r="C395" s="8" t="s">
        <v>2196</v>
      </c>
    </row>
    <row r="396" spans="1:3" x14ac:dyDescent="0.2">
      <c r="A396" s="12">
        <v>395</v>
      </c>
      <c r="B396" s="8" t="s">
        <v>184</v>
      </c>
      <c r="C396" s="8" t="s">
        <v>2217</v>
      </c>
    </row>
    <row r="397" spans="1:3" x14ac:dyDescent="0.2">
      <c r="A397" s="12">
        <v>396</v>
      </c>
      <c r="B397" s="8" t="s">
        <v>509</v>
      </c>
      <c r="C397" s="8" t="s">
        <v>2216</v>
      </c>
    </row>
    <row r="398" spans="1:3" x14ac:dyDescent="0.2">
      <c r="A398" s="12">
        <v>397</v>
      </c>
      <c r="B398" s="8" t="s">
        <v>683</v>
      </c>
      <c r="C398" s="8" t="s">
        <v>2199</v>
      </c>
    </row>
    <row r="399" spans="1:3" x14ac:dyDescent="0.2">
      <c r="A399" s="12">
        <v>398</v>
      </c>
      <c r="B399" s="8" t="s">
        <v>446</v>
      </c>
      <c r="C399" s="8" t="s">
        <v>2224</v>
      </c>
    </row>
    <row r="400" spans="1:3" x14ac:dyDescent="0.2">
      <c r="A400" s="12">
        <v>399</v>
      </c>
      <c r="B400" s="8" t="s">
        <v>205</v>
      </c>
      <c r="C400" s="8" t="s">
        <v>2200</v>
      </c>
    </row>
    <row r="401" spans="1:3" x14ac:dyDescent="0.2">
      <c r="A401" s="12">
        <v>400</v>
      </c>
      <c r="B401" s="8" t="s">
        <v>426</v>
      </c>
      <c r="C401" s="8" t="s">
        <v>2205</v>
      </c>
    </row>
    <row r="402" spans="1:3" x14ac:dyDescent="0.2">
      <c r="A402" s="12">
        <v>401</v>
      </c>
      <c r="B402" s="8" t="s">
        <v>444</v>
      </c>
      <c r="C402" s="8" t="s">
        <v>2210</v>
      </c>
    </row>
    <row r="403" spans="1:3" x14ac:dyDescent="0.2">
      <c r="A403" s="12">
        <v>402</v>
      </c>
      <c r="B403" s="8" t="s">
        <v>508</v>
      </c>
      <c r="C403" s="8" t="s">
        <v>2213</v>
      </c>
    </row>
    <row r="404" spans="1:3" x14ac:dyDescent="0.2">
      <c r="A404" s="12">
        <v>403</v>
      </c>
      <c r="B404" s="8" t="s">
        <v>650</v>
      </c>
      <c r="C404" s="8" t="s">
        <v>2213</v>
      </c>
    </row>
    <row r="405" spans="1:3" x14ac:dyDescent="0.2">
      <c r="A405" s="12">
        <v>404</v>
      </c>
      <c r="B405" s="8" t="s">
        <v>198</v>
      </c>
      <c r="C405" s="8" t="s">
        <v>2208</v>
      </c>
    </row>
    <row r="406" spans="1:3" x14ac:dyDescent="0.2">
      <c r="A406" s="12">
        <v>405</v>
      </c>
      <c r="B406" s="8" t="s">
        <v>203</v>
      </c>
      <c r="C406" s="8" t="s">
        <v>2220</v>
      </c>
    </row>
    <row r="407" spans="1:3" x14ac:dyDescent="0.2">
      <c r="A407" s="12">
        <v>406</v>
      </c>
      <c r="B407" s="8" t="s">
        <v>443</v>
      </c>
      <c r="C407" s="8" t="s">
        <v>2211</v>
      </c>
    </row>
    <row r="408" spans="1:3" x14ac:dyDescent="0.2">
      <c r="A408" s="12">
        <v>407</v>
      </c>
      <c r="B408" s="8" t="s">
        <v>416</v>
      </c>
      <c r="C408" s="8" t="s">
        <v>2204</v>
      </c>
    </row>
    <row r="409" spans="1:3" x14ac:dyDescent="0.2">
      <c r="A409" s="12">
        <v>408</v>
      </c>
      <c r="B409" s="8" t="s">
        <v>227</v>
      </c>
      <c r="C409" s="8" t="s">
        <v>2220</v>
      </c>
    </row>
    <row r="410" spans="1:3" x14ac:dyDescent="0.2">
      <c r="A410" s="12">
        <v>409</v>
      </c>
      <c r="B410" s="8" t="s">
        <v>527</v>
      </c>
      <c r="C410" s="8" t="s">
        <v>2217</v>
      </c>
    </row>
    <row r="411" spans="1:3" x14ac:dyDescent="0.2">
      <c r="A411" s="12">
        <v>410</v>
      </c>
      <c r="B411" s="8" t="s">
        <v>236</v>
      </c>
      <c r="C411" s="8" t="s">
        <v>2214</v>
      </c>
    </row>
    <row r="412" spans="1:3" x14ac:dyDescent="0.2">
      <c r="A412" s="12">
        <v>411</v>
      </c>
      <c r="B412" s="8" t="s">
        <v>232</v>
      </c>
      <c r="C412" s="8" t="s">
        <v>2199</v>
      </c>
    </row>
    <row r="413" spans="1:3" x14ac:dyDescent="0.2">
      <c r="A413" s="12">
        <v>412</v>
      </c>
      <c r="B413" s="8" t="s">
        <v>189</v>
      </c>
      <c r="C413" s="8" t="s">
        <v>2206</v>
      </c>
    </row>
    <row r="414" spans="1:3" x14ac:dyDescent="0.2">
      <c r="A414" s="12">
        <v>413</v>
      </c>
      <c r="B414" s="8" t="s">
        <v>397</v>
      </c>
      <c r="C414" s="8" t="s">
        <v>2199</v>
      </c>
    </row>
    <row r="415" spans="1:3" x14ac:dyDescent="0.2">
      <c r="A415" s="12">
        <v>414</v>
      </c>
      <c r="B415" s="8" t="s">
        <v>230</v>
      </c>
      <c r="C415" s="8" t="s">
        <v>2214</v>
      </c>
    </row>
    <row r="416" spans="1:3" x14ac:dyDescent="0.2">
      <c r="A416" s="12">
        <v>415</v>
      </c>
      <c r="B416" s="8" t="s">
        <v>531</v>
      </c>
      <c r="C416" s="8" t="s">
        <v>2221</v>
      </c>
    </row>
    <row r="417" spans="1:3" x14ac:dyDescent="0.2">
      <c r="A417" s="12">
        <v>416</v>
      </c>
      <c r="B417" s="8" t="s">
        <v>162</v>
      </c>
      <c r="C417" s="8" t="s">
        <v>2221</v>
      </c>
    </row>
    <row r="418" spans="1:3" x14ac:dyDescent="0.2">
      <c r="A418" s="12">
        <v>417</v>
      </c>
      <c r="B418" s="8" t="s">
        <v>428</v>
      </c>
      <c r="C418" s="8" t="s">
        <v>2198</v>
      </c>
    </row>
    <row r="419" spans="1:3" x14ac:dyDescent="0.2">
      <c r="A419" s="12">
        <v>418</v>
      </c>
      <c r="B419" s="8" t="s">
        <v>429</v>
      </c>
      <c r="C419" s="8" t="s">
        <v>2214</v>
      </c>
    </row>
    <row r="420" spans="1:3" x14ac:dyDescent="0.2">
      <c r="A420" s="12">
        <v>419</v>
      </c>
      <c r="B420" s="8" t="s">
        <v>510</v>
      </c>
      <c r="C420" s="8" t="s">
        <v>2208</v>
      </c>
    </row>
    <row r="421" spans="1:3" x14ac:dyDescent="0.2">
      <c r="A421" s="12">
        <v>420</v>
      </c>
      <c r="B421" s="8" t="s">
        <v>182</v>
      </c>
      <c r="C421" s="8" t="s">
        <v>2213</v>
      </c>
    </row>
    <row r="422" spans="1:3" x14ac:dyDescent="0.2">
      <c r="A422" s="12">
        <v>421</v>
      </c>
      <c r="B422" s="8" t="s">
        <v>417</v>
      </c>
      <c r="C422" s="8" t="s">
        <v>2201</v>
      </c>
    </row>
    <row r="423" spans="1:3" x14ac:dyDescent="0.2">
      <c r="A423" s="12">
        <v>422</v>
      </c>
      <c r="B423" s="8" t="s">
        <v>560</v>
      </c>
      <c r="C423" s="8" t="s">
        <v>2222</v>
      </c>
    </row>
    <row r="424" spans="1:3" x14ac:dyDescent="0.2">
      <c r="A424" s="12">
        <v>423</v>
      </c>
      <c r="B424" s="8" t="s">
        <v>211</v>
      </c>
      <c r="C424" s="8" t="s">
        <v>2213</v>
      </c>
    </row>
    <row r="425" spans="1:3" x14ac:dyDescent="0.2">
      <c r="A425" s="12">
        <v>424</v>
      </c>
      <c r="B425" s="8" t="s">
        <v>432</v>
      </c>
      <c r="C425" s="8" t="s">
        <v>2206</v>
      </c>
    </row>
    <row r="426" spans="1:3" x14ac:dyDescent="0.2">
      <c r="A426" s="12">
        <v>425</v>
      </c>
      <c r="B426" s="8" t="s">
        <v>202</v>
      </c>
      <c r="C426" s="8" t="s">
        <v>2217</v>
      </c>
    </row>
    <row r="427" spans="1:3" x14ac:dyDescent="0.2">
      <c r="A427" s="12">
        <v>426</v>
      </c>
      <c r="B427" s="8" t="s">
        <v>643</v>
      </c>
      <c r="C427" s="8" t="s">
        <v>2197</v>
      </c>
    </row>
    <row r="428" spans="1:3" x14ac:dyDescent="0.2">
      <c r="A428" s="12">
        <v>427</v>
      </c>
      <c r="B428" s="8" t="s">
        <v>457</v>
      </c>
      <c r="C428" s="8" t="s">
        <v>2198</v>
      </c>
    </row>
    <row r="429" spans="1:3" x14ac:dyDescent="0.2">
      <c r="A429" s="12">
        <v>428</v>
      </c>
      <c r="B429" s="8" t="s">
        <v>545</v>
      </c>
      <c r="C429" s="8" t="s">
        <v>2195</v>
      </c>
    </row>
    <row r="430" spans="1:3" x14ac:dyDescent="0.2">
      <c r="A430" s="12">
        <v>429</v>
      </c>
      <c r="B430" s="8" t="s">
        <v>268</v>
      </c>
      <c r="C430" s="8" t="s">
        <v>2205</v>
      </c>
    </row>
    <row r="431" spans="1:3" x14ac:dyDescent="0.2">
      <c r="A431" s="12">
        <v>430</v>
      </c>
      <c r="B431" s="8" t="s">
        <v>500</v>
      </c>
      <c r="C431" s="8" t="s">
        <v>2220</v>
      </c>
    </row>
    <row r="432" spans="1:3" x14ac:dyDescent="0.2">
      <c r="A432" s="12">
        <v>431</v>
      </c>
      <c r="B432" s="8" t="s">
        <v>234</v>
      </c>
      <c r="C432" s="8" t="s">
        <v>2199</v>
      </c>
    </row>
    <row r="433" spans="1:3" x14ac:dyDescent="0.2">
      <c r="A433" s="12">
        <v>432</v>
      </c>
      <c r="B433" s="8" t="s">
        <v>679</v>
      </c>
      <c r="C433" s="8" t="s">
        <v>2199</v>
      </c>
    </row>
    <row r="434" spans="1:3" x14ac:dyDescent="0.2">
      <c r="A434" s="12">
        <v>433</v>
      </c>
      <c r="B434" s="8" t="s">
        <v>231</v>
      </c>
      <c r="C434" s="8" t="s">
        <v>2203</v>
      </c>
    </row>
    <row r="435" spans="1:3" x14ac:dyDescent="0.2">
      <c r="A435" s="12">
        <v>434</v>
      </c>
      <c r="B435" s="8" t="s">
        <v>213</v>
      </c>
      <c r="C435" s="8" t="s">
        <v>2209</v>
      </c>
    </row>
    <row r="436" spans="1:3" x14ac:dyDescent="0.2">
      <c r="A436" s="12">
        <v>435</v>
      </c>
      <c r="B436" s="8" t="s">
        <v>245</v>
      </c>
      <c r="C436" s="8" t="s">
        <v>2215</v>
      </c>
    </row>
    <row r="437" spans="1:3" x14ac:dyDescent="0.2">
      <c r="A437" s="12">
        <v>436</v>
      </c>
      <c r="B437" s="8" t="s">
        <v>233</v>
      </c>
      <c r="C437" s="8" t="s">
        <v>2223</v>
      </c>
    </row>
    <row r="438" spans="1:3" x14ac:dyDescent="0.2">
      <c r="A438" s="12">
        <v>437</v>
      </c>
      <c r="B438" s="8" t="s">
        <v>238</v>
      </c>
      <c r="C438" s="8" t="s">
        <v>2196</v>
      </c>
    </row>
    <row r="439" spans="1:3" x14ac:dyDescent="0.2">
      <c r="A439" s="12">
        <v>438</v>
      </c>
      <c r="B439" s="8" t="s">
        <v>207</v>
      </c>
      <c r="C439" s="8" t="s">
        <v>2215</v>
      </c>
    </row>
    <row r="440" spans="1:3" x14ac:dyDescent="0.2">
      <c r="A440" s="12">
        <v>439</v>
      </c>
      <c r="B440" s="8" t="s">
        <v>208</v>
      </c>
      <c r="C440" s="8" t="s">
        <v>2213</v>
      </c>
    </row>
    <row r="441" spans="1:3" x14ac:dyDescent="0.2">
      <c r="A441" s="12">
        <v>440</v>
      </c>
      <c r="B441" s="8" t="s">
        <v>459</v>
      </c>
      <c r="C441" s="8" t="s">
        <v>2196</v>
      </c>
    </row>
    <row r="442" spans="1:3" x14ac:dyDescent="0.2">
      <c r="A442" s="12">
        <v>441</v>
      </c>
      <c r="B442" s="8" t="s">
        <v>431</v>
      </c>
      <c r="C442" s="8" t="s">
        <v>2199</v>
      </c>
    </row>
    <row r="443" spans="1:3" x14ac:dyDescent="0.2">
      <c r="A443" s="12">
        <v>442</v>
      </c>
      <c r="B443" s="8" t="s">
        <v>445</v>
      </c>
      <c r="C443" s="8" t="s">
        <v>2215</v>
      </c>
    </row>
    <row r="444" spans="1:3" x14ac:dyDescent="0.2">
      <c r="A444" s="12">
        <v>443</v>
      </c>
      <c r="B444" s="8" t="s">
        <v>235</v>
      </c>
      <c r="C444" s="8" t="s">
        <v>2208</v>
      </c>
    </row>
    <row r="445" spans="1:3" x14ac:dyDescent="0.2">
      <c r="A445" s="12">
        <v>444</v>
      </c>
      <c r="B445" s="8" t="s">
        <v>427</v>
      </c>
      <c r="C445" s="8" t="s">
        <v>2224</v>
      </c>
    </row>
    <row r="446" spans="1:3" x14ac:dyDescent="0.2">
      <c r="A446" s="12">
        <v>445</v>
      </c>
      <c r="B446" s="8" t="s">
        <v>645</v>
      </c>
      <c r="C446" s="8" t="s">
        <v>2202</v>
      </c>
    </row>
    <row r="447" spans="1:3" x14ac:dyDescent="0.2">
      <c r="A447" s="12">
        <v>446</v>
      </c>
      <c r="B447" s="8" t="s">
        <v>447</v>
      </c>
      <c r="C447" s="8" t="s">
        <v>2223</v>
      </c>
    </row>
    <row r="448" spans="1:3" x14ac:dyDescent="0.2">
      <c r="A448" s="12">
        <v>447</v>
      </c>
      <c r="B448" s="8" t="s">
        <v>239</v>
      </c>
      <c r="C448" s="8" t="s">
        <v>2201</v>
      </c>
    </row>
    <row r="449" spans="1:3" x14ac:dyDescent="0.2">
      <c r="A449" s="12">
        <v>448</v>
      </c>
      <c r="B449" s="8" t="s">
        <v>458</v>
      </c>
      <c r="C449" s="8" t="s">
        <v>2224</v>
      </c>
    </row>
    <row r="450" spans="1:3" x14ac:dyDescent="0.2">
      <c r="A450" s="12">
        <v>449</v>
      </c>
      <c r="B450" s="8" t="s">
        <v>240</v>
      </c>
      <c r="C450" s="8" t="s">
        <v>2218</v>
      </c>
    </row>
    <row r="451" spans="1:3" x14ac:dyDescent="0.2">
      <c r="A451" s="12">
        <v>450</v>
      </c>
      <c r="B451" s="8" t="s">
        <v>653</v>
      </c>
      <c r="C451" s="8" t="s">
        <v>2221</v>
      </c>
    </row>
    <row r="452" spans="1:3" x14ac:dyDescent="0.2">
      <c r="A452" s="12">
        <v>451</v>
      </c>
      <c r="B452" s="8" t="s">
        <v>502</v>
      </c>
      <c r="C452" s="8" t="s">
        <v>2219</v>
      </c>
    </row>
    <row r="453" spans="1:3" x14ac:dyDescent="0.2">
      <c r="A453" s="12">
        <v>452</v>
      </c>
      <c r="B453" s="8" t="s">
        <v>418</v>
      </c>
      <c r="C453" s="8" t="s">
        <v>2196</v>
      </c>
    </row>
    <row r="454" spans="1:3" x14ac:dyDescent="0.2">
      <c r="A454" s="12">
        <v>453</v>
      </c>
      <c r="B454" s="8" t="s">
        <v>274</v>
      </c>
      <c r="C454" s="8" t="s">
        <v>2210</v>
      </c>
    </row>
    <row r="455" spans="1:3" x14ac:dyDescent="0.2">
      <c r="A455" s="12">
        <v>454</v>
      </c>
      <c r="B455" s="8" t="s">
        <v>684</v>
      </c>
      <c r="C455" s="8" t="s">
        <v>2196</v>
      </c>
    </row>
    <row r="456" spans="1:3" x14ac:dyDescent="0.2">
      <c r="A456" s="12">
        <v>455</v>
      </c>
      <c r="B456" s="8" t="s">
        <v>647</v>
      </c>
      <c r="C456" s="8" t="s">
        <v>2210</v>
      </c>
    </row>
    <row r="457" spans="1:3" x14ac:dyDescent="0.2">
      <c r="A457" s="12">
        <v>456</v>
      </c>
      <c r="B457" s="8" t="s">
        <v>512</v>
      </c>
      <c r="C457" s="8" t="s">
        <v>2222</v>
      </c>
    </row>
    <row r="458" spans="1:3" x14ac:dyDescent="0.2">
      <c r="A458" s="12">
        <v>457</v>
      </c>
      <c r="B458" s="8" t="s">
        <v>600</v>
      </c>
      <c r="C458" s="8" t="s">
        <v>18</v>
      </c>
    </row>
    <row r="459" spans="1:3" x14ac:dyDescent="0.2">
      <c r="A459" s="12">
        <v>458</v>
      </c>
      <c r="B459" s="8" t="s">
        <v>606</v>
      </c>
      <c r="C459" s="8" t="s">
        <v>2202</v>
      </c>
    </row>
    <row r="460" spans="1:3" x14ac:dyDescent="0.2">
      <c r="A460" s="12">
        <v>459</v>
      </c>
      <c r="B460" s="8" t="s">
        <v>275</v>
      </c>
      <c r="C460" s="8" t="s">
        <v>2210</v>
      </c>
    </row>
    <row r="461" spans="1:3" x14ac:dyDescent="0.2">
      <c r="A461" s="12">
        <v>460</v>
      </c>
      <c r="B461" s="8" t="s">
        <v>253</v>
      </c>
      <c r="C461" s="8" t="s">
        <v>4</v>
      </c>
    </row>
    <row r="462" spans="1:3" x14ac:dyDescent="0.2">
      <c r="A462" s="12">
        <v>461</v>
      </c>
      <c r="B462" s="8" t="s">
        <v>511</v>
      </c>
      <c r="C462" s="8" t="s">
        <v>2224</v>
      </c>
    </row>
    <row r="463" spans="1:3" x14ac:dyDescent="0.2">
      <c r="A463" s="12">
        <v>462</v>
      </c>
      <c r="B463" s="8" t="s">
        <v>271</v>
      </c>
      <c r="C463" s="8" t="s">
        <v>2200</v>
      </c>
    </row>
    <row r="464" spans="1:3" x14ac:dyDescent="0.2">
      <c r="A464" s="12">
        <v>463</v>
      </c>
      <c r="B464" s="8" t="s">
        <v>249</v>
      </c>
      <c r="C464" s="8" t="s">
        <v>2216</v>
      </c>
    </row>
    <row r="465" spans="1:3" x14ac:dyDescent="0.2">
      <c r="A465" s="12">
        <v>464</v>
      </c>
      <c r="B465" s="8" t="s">
        <v>573</v>
      </c>
      <c r="C465" s="8" t="s">
        <v>2216</v>
      </c>
    </row>
    <row r="466" spans="1:3" x14ac:dyDescent="0.2">
      <c r="A466" s="12">
        <v>465</v>
      </c>
      <c r="B466" s="8" t="s">
        <v>242</v>
      </c>
      <c r="C466" s="8" t="s">
        <v>2218</v>
      </c>
    </row>
    <row r="467" spans="1:3" x14ac:dyDescent="0.2">
      <c r="A467" s="12">
        <v>466</v>
      </c>
      <c r="B467" s="8" t="s">
        <v>241</v>
      </c>
      <c r="C467" s="8" t="s">
        <v>31</v>
      </c>
    </row>
    <row r="468" spans="1:3" x14ac:dyDescent="0.2">
      <c r="A468" s="12">
        <v>467</v>
      </c>
      <c r="B468" s="8" t="s">
        <v>243</v>
      </c>
      <c r="C468" s="8" t="s">
        <v>2213</v>
      </c>
    </row>
    <row r="469" spans="1:3" x14ac:dyDescent="0.2">
      <c r="A469" s="12">
        <v>468</v>
      </c>
      <c r="B469" s="8" t="s">
        <v>614</v>
      </c>
      <c r="C469" s="8" t="s">
        <v>2217</v>
      </c>
    </row>
    <row r="470" spans="1:3" x14ac:dyDescent="0.2">
      <c r="A470" s="12">
        <v>469</v>
      </c>
      <c r="B470" s="8" t="s">
        <v>244</v>
      </c>
      <c r="C470" s="8" t="s">
        <v>2206</v>
      </c>
    </row>
    <row r="471" spans="1:3" x14ac:dyDescent="0.2">
      <c r="A471" s="12">
        <v>470</v>
      </c>
      <c r="B471" s="8" t="s">
        <v>269</v>
      </c>
      <c r="C471" s="8" t="s">
        <v>2211</v>
      </c>
    </row>
    <row r="472" spans="1:3" x14ac:dyDescent="0.2">
      <c r="A472" s="12">
        <v>471</v>
      </c>
      <c r="B472" s="8" t="s">
        <v>685</v>
      </c>
      <c r="C472" s="8" t="s">
        <v>2222</v>
      </c>
    </row>
    <row r="473" spans="1:3" x14ac:dyDescent="0.2">
      <c r="A473" s="12">
        <v>472</v>
      </c>
      <c r="B473" s="8" t="s">
        <v>498</v>
      </c>
      <c r="C473" s="8" t="s">
        <v>2220</v>
      </c>
    </row>
    <row r="474" spans="1:3" x14ac:dyDescent="0.2">
      <c r="A474" s="12">
        <v>473</v>
      </c>
      <c r="B474" s="8" t="s">
        <v>248</v>
      </c>
      <c r="C474" s="8" t="s">
        <v>2210</v>
      </c>
    </row>
    <row r="475" spans="1:3" x14ac:dyDescent="0.2">
      <c r="A475" s="12">
        <v>474</v>
      </c>
      <c r="B475" s="8" t="s">
        <v>448</v>
      </c>
      <c r="C475" s="8" t="s">
        <v>2215</v>
      </c>
    </row>
    <row r="476" spans="1:3" x14ac:dyDescent="0.2">
      <c r="A476" s="12">
        <v>475</v>
      </c>
      <c r="B476" s="8" t="s">
        <v>617</v>
      </c>
      <c r="C476" s="8" t="s">
        <v>2209</v>
      </c>
    </row>
    <row r="477" spans="1:3" x14ac:dyDescent="0.2">
      <c r="A477" s="12">
        <v>476</v>
      </c>
      <c r="B477" s="8" t="s">
        <v>270</v>
      </c>
      <c r="C477" s="8" t="s">
        <v>2219</v>
      </c>
    </row>
    <row r="478" spans="1:3" x14ac:dyDescent="0.2">
      <c r="A478" s="12">
        <v>477</v>
      </c>
      <c r="B478" s="8" t="s">
        <v>215</v>
      </c>
      <c r="C478" s="8" t="s">
        <v>2219</v>
      </c>
    </row>
    <row r="479" spans="1:3" x14ac:dyDescent="0.2">
      <c r="A479" s="12">
        <v>478</v>
      </c>
      <c r="B479" s="8" t="s">
        <v>533</v>
      </c>
      <c r="C479" s="8" t="s">
        <v>2204</v>
      </c>
    </row>
    <row r="480" spans="1:3" x14ac:dyDescent="0.2">
      <c r="A480" s="12">
        <v>479</v>
      </c>
      <c r="B480" s="8" t="s">
        <v>665</v>
      </c>
      <c r="C480" s="8" t="s">
        <v>2216</v>
      </c>
    </row>
    <row r="481" spans="1:3" x14ac:dyDescent="0.2">
      <c r="A481" s="12">
        <v>480</v>
      </c>
      <c r="B481" s="8" t="s">
        <v>433</v>
      </c>
      <c r="C481" s="8" t="s">
        <v>2217</v>
      </c>
    </row>
    <row r="482" spans="1:3" x14ac:dyDescent="0.2">
      <c r="A482" s="12">
        <v>481</v>
      </c>
      <c r="B482" s="8" t="s">
        <v>535</v>
      </c>
      <c r="C482" s="8" t="s">
        <v>2222</v>
      </c>
    </row>
    <row r="483" spans="1:3" x14ac:dyDescent="0.2">
      <c r="A483" s="12">
        <v>482</v>
      </c>
      <c r="B483" s="8" t="s">
        <v>548</v>
      </c>
      <c r="C483" s="8" t="s">
        <v>2203</v>
      </c>
    </row>
    <row r="484" spans="1:3" x14ac:dyDescent="0.2">
      <c r="A484" s="12">
        <v>483</v>
      </c>
      <c r="B484" s="8" t="s">
        <v>267</v>
      </c>
      <c r="C484" s="8" t="s">
        <v>2207</v>
      </c>
    </row>
    <row r="485" spans="1:3" x14ac:dyDescent="0.2">
      <c r="A485" s="12">
        <v>484</v>
      </c>
      <c r="B485" s="8" t="s">
        <v>546</v>
      </c>
      <c r="C485" s="8" t="s">
        <v>2216</v>
      </c>
    </row>
    <row r="486" spans="1:3" x14ac:dyDescent="0.2">
      <c r="A486" s="12">
        <v>485</v>
      </c>
      <c r="B486" s="8" t="s">
        <v>552</v>
      </c>
      <c r="C486" s="8" t="s">
        <v>6</v>
      </c>
    </row>
    <row r="487" spans="1:3" x14ac:dyDescent="0.2">
      <c r="A487" s="12">
        <v>486</v>
      </c>
      <c r="B487" s="8" t="s">
        <v>449</v>
      </c>
      <c r="C487" s="8" t="s">
        <v>2209</v>
      </c>
    </row>
    <row r="488" spans="1:3" x14ac:dyDescent="0.2">
      <c r="A488" s="12">
        <v>487</v>
      </c>
      <c r="B488" s="8" t="s">
        <v>451</v>
      </c>
      <c r="C488" s="8" t="s">
        <v>9</v>
      </c>
    </row>
    <row r="489" spans="1:3" x14ac:dyDescent="0.2">
      <c r="A489" s="12">
        <v>488</v>
      </c>
      <c r="B489" s="8" t="s">
        <v>452</v>
      </c>
      <c r="C489" s="8" t="s">
        <v>2220</v>
      </c>
    </row>
    <row r="490" spans="1:3" x14ac:dyDescent="0.2">
      <c r="A490" s="12">
        <v>489</v>
      </c>
      <c r="B490" s="8" t="s">
        <v>562</v>
      </c>
      <c r="C490" s="8" t="s">
        <v>2224</v>
      </c>
    </row>
    <row r="491" spans="1:3" x14ac:dyDescent="0.2">
      <c r="A491" s="12">
        <v>490</v>
      </c>
      <c r="B491" s="8" t="s">
        <v>513</v>
      </c>
      <c r="C491" s="8" t="s">
        <v>2223</v>
      </c>
    </row>
    <row r="492" spans="1:3" x14ac:dyDescent="0.2">
      <c r="A492" s="12">
        <v>491</v>
      </c>
      <c r="B492" s="8" t="s">
        <v>505</v>
      </c>
      <c r="C492" s="8" t="s">
        <v>2219</v>
      </c>
    </row>
    <row r="493" spans="1:3" x14ac:dyDescent="0.2">
      <c r="A493" s="12">
        <v>492</v>
      </c>
      <c r="B493" s="8" t="s">
        <v>632</v>
      </c>
      <c r="C493" s="8" t="s">
        <v>2206</v>
      </c>
    </row>
    <row r="494" spans="1:3" x14ac:dyDescent="0.2">
      <c r="A494" s="12">
        <v>493</v>
      </c>
      <c r="B494" s="8" t="s">
        <v>681</v>
      </c>
      <c r="C494" s="8" t="s">
        <v>2224</v>
      </c>
    </row>
    <row r="495" spans="1:3" x14ac:dyDescent="0.2">
      <c r="A495" s="12">
        <v>494</v>
      </c>
      <c r="B495" s="8" t="s">
        <v>246</v>
      </c>
      <c r="C495" s="8" t="s">
        <v>2213</v>
      </c>
    </row>
    <row r="496" spans="1:3" x14ac:dyDescent="0.2">
      <c r="A496" s="12">
        <v>495</v>
      </c>
      <c r="B496" s="8" t="s">
        <v>454</v>
      </c>
      <c r="C496" s="8" t="s">
        <v>2209</v>
      </c>
    </row>
    <row r="497" spans="1:3" x14ac:dyDescent="0.2">
      <c r="A497" s="12">
        <v>496</v>
      </c>
      <c r="B497" s="8" t="s">
        <v>658</v>
      </c>
      <c r="C497" s="8" t="s">
        <v>2198</v>
      </c>
    </row>
    <row r="498" spans="1:3" x14ac:dyDescent="0.2">
      <c r="A498" s="12">
        <v>497</v>
      </c>
      <c r="B498" s="8" t="s">
        <v>678</v>
      </c>
      <c r="C498" s="8" t="s">
        <v>2220</v>
      </c>
    </row>
    <row r="499" spans="1:3" x14ac:dyDescent="0.2">
      <c r="A499" s="12">
        <v>498</v>
      </c>
      <c r="B499" s="8" t="s">
        <v>218</v>
      </c>
      <c r="C499" s="8" t="s">
        <v>2217</v>
      </c>
    </row>
    <row r="500" spans="1:3" x14ac:dyDescent="0.2">
      <c r="A500" s="12">
        <v>499</v>
      </c>
      <c r="B500" s="8" t="s">
        <v>589</v>
      </c>
      <c r="C500" s="8" t="s">
        <v>2220</v>
      </c>
    </row>
    <row r="501" spans="1:3" x14ac:dyDescent="0.2">
      <c r="A501" s="12">
        <v>500</v>
      </c>
      <c r="B501" s="8" t="s">
        <v>595</v>
      </c>
      <c r="C501" s="8" t="s">
        <v>2224</v>
      </c>
    </row>
    <row r="502" spans="1:3" x14ac:dyDescent="0.2">
      <c r="A502" s="12">
        <v>501</v>
      </c>
      <c r="B502" s="8" t="s">
        <v>604</v>
      </c>
      <c r="C502" s="8" t="s">
        <v>28</v>
      </c>
    </row>
    <row r="503" spans="1:3" x14ac:dyDescent="0.2">
      <c r="A503" s="12">
        <v>502</v>
      </c>
      <c r="B503" s="8" t="s">
        <v>252</v>
      </c>
      <c r="C503" s="8" t="s">
        <v>2206</v>
      </c>
    </row>
    <row r="504" spans="1:3" x14ac:dyDescent="0.2">
      <c r="A504" s="12">
        <v>503</v>
      </c>
      <c r="B504" s="8" t="s">
        <v>674</v>
      </c>
      <c r="C504" s="8" t="s">
        <v>2202</v>
      </c>
    </row>
    <row r="505" spans="1:3" x14ac:dyDescent="0.2">
      <c r="A505" s="12">
        <v>504</v>
      </c>
      <c r="B505" s="8" t="s">
        <v>217</v>
      </c>
      <c r="C505" s="8" t="s">
        <v>2196</v>
      </c>
    </row>
    <row r="506" spans="1:3" x14ac:dyDescent="0.2">
      <c r="A506" s="12">
        <v>505</v>
      </c>
      <c r="B506" s="8" t="s">
        <v>251</v>
      </c>
      <c r="C506" s="8" t="s">
        <v>2223</v>
      </c>
    </row>
    <row r="507" spans="1:3" x14ac:dyDescent="0.2">
      <c r="A507" s="12">
        <v>506</v>
      </c>
      <c r="B507" s="8" t="s">
        <v>584</v>
      </c>
      <c r="C507" s="8" t="s">
        <v>2211</v>
      </c>
    </row>
    <row r="508" spans="1:3" x14ac:dyDescent="0.2">
      <c r="A508" s="12">
        <v>507</v>
      </c>
      <c r="B508" s="8" t="s">
        <v>688</v>
      </c>
      <c r="C508" s="8" t="s">
        <v>2205</v>
      </c>
    </row>
    <row r="509" spans="1:3" x14ac:dyDescent="0.2">
      <c r="A509" s="12">
        <v>508</v>
      </c>
      <c r="B509" s="8" t="s">
        <v>258</v>
      </c>
      <c r="C509" s="8" t="s">
        <v>2203</v>
      </c>
    </row>
    <row r="510" spans="1:3" x14ac:dyDescent="0.2">
      <c r="A510" s="12">
        <v>509</v>
      </c>
      <c r="B510" s="8" t="s">
        <v>569</v>
      </c>
      <c r="C510" s="8" t="s">
        <v>2203</v>
      </c>
    </row>
    <row r="511" spans="1:3" x14ac:dyDescent="0.2">
      <c r="A511" s="12">
        <v>510</v>
      </c>
      <c r="B511" s="8" t="s">
        <v>583</v>
      </c>
      <c r="C511" s="8" t="s">
        <v>2208</v>
      </c>
    </row>
    <row r="512" spans="1:3" x14ac:dyDescent="0.2">
      <c r="A512" s="12">
        <v>511</v>
      </c>
      <c r="B512" s="8" t="s">
        <v>637</v>
      </c>
      <c r="C512" s="8" t="s">
        <v>2199</v>
      </c>
    </row>
    <row r="513" spans="1:3" x14ac:dyDescent="0.2">
      <c r="A513" s="12">
        <v>512</v>
      </c>
      <c r="B513" s="8" t="s">
        <v>644</v>
      </c>
      <c r="C513" s="8" t="s">
        <v>2202</v>
      </c>
    </row>
    <row r="514" spans="1:3" x14ac:dyDescent="0.2">
      <c r="A514" s="12">
        <v>513</v>
      </c>
      <c r="B514" s="8" t="s">
        <v>677</v>
      </c>
      <c r="C514" s="8" t="s">
        <v>2212</v>
      </c>
    </row>
    <row r="515" spans="1:3" x14ac:dyDescent="0.2">
      <c r="A515" s="12">
        <v>514</v>
      </c>
      <c r="B515" s="8" t="s">
        <v>526</v>
      </c>
      <c r="C515" s="8" t="s">
        <v>2207</v>
      </c>
    </row>
    <row r="516" spans="1:3" x14ac:dyDescent="0.2">
      <c r="A516" s="12">
        <v>515</v>
      </c>
      <c r="B516" s="8" t="s">
        <v>544</v>
      </c>
      <c r="C516" s="8" t="s">
        <v>2223</v>
      </c>
    </row>
    <row r="517" spans="1:3" x14ac:dyDescent="0.2">
      <c r="A517" s="12">
        <v>516</v>
      </c>
      <c r="B517" s="8" t="s">
        <v>578</v>
      </c>
      <c r="C517" s="8" t="s">
        <v>2201</v>
      </c>
    </row>
    <row r="518" spans="1:3" x14ac:dyDescent="0.2">
      <c r="A518" s="12">
        <v>517</v>
      </c>
      <c r="B518" s="8" t="s">
        <v>601</v>
      </c>
      <c r="C518" s="8" t="s">
        <v>2204</v>
      </c>
    </row>
    <row r="519" spans="1:3" x14ac:dyDescent="0.2">
      <c r="A519" s="12">
        <v>518</v>
      </c>
      <c r="B519" s="8" t="s">
        <v>610</v>
      </c>
      <c r="C519" s="8" t="s">
        <v>2213</v>
      </c>
    </row>
    <row r="520" spans="1:3" x14ac:dyDescent="0.2">
      <c r="A520" s="12">
        <v>519</v>
      </c>
      <c r="B520" s="8" t="s">
        <v>613</v>
      </c>
      <c r="C520" s="8" t="s">
        <v>2206</v>
      </c>
    </row>
    <row r="521" spans="1:3" x14ac:dyDescent="0.2">
      <c r="A521" s="12">
        <v>520</v>
      </c>
      <c r="B521" s="8" t="s">
        <v>255</v>
      </c>
      <c r="C521" s="8" t="s">
        <v>2220</v>
      </c>
    </row>
    <row r="522" spans="1:3" x14ac:dyDescent="0.2">
      <c r="A522" s="12">
        <v>521</v>
      </c>
      <c r="B522" s="8" t="s">
        <v>626</v>
      </c>
      <c r="C522" s="8" t="s">
        <v>691</v>
      </c>
    </row>
    <row r="523" spans="1:3" x14ac:dyDescent="0.2">
      <c r="A523" s="12">
        <v>522</v>
      </c>
      <c r="B523" s="8" t="s">
        <v>455</v>
      </c>
      <c r="C523" s="8" t="s">
        <v>2207</v>
      </c>
    </row>
    <row r="524" spans="1:3" x14ac:dyDescent="0.2">
      <c r="A524" s="12">
        <v>523</v>
      </c>
      <c r="B524" s="8" t="s">
        <v>524</v>
      </c>
      <c r="C524" s="8" t="s">
        <v>2197</v>
      </c>
    </row>
    <row r="525" spans="1:3" x14ac:dyDescent="0.2">
      <c r="A525" s="12">
        <v>524</v>
      </c>
      <c r="B525" s="8" t="s">
        <v>530</v>
      </c>
      <c r="C525" s="8" t="s">
        <v>2220</v>
      </c>
    </row>
    <row r="526" spans="1:3" x14ac:dyDescent="0.2">
      <c r="A526" s="12">
        <v>525</v>
      </c>
      <c r="B526" s="8" t="s">
        <v>551</v>
      </c>
      <c r="C526" s="8" t="s">
        <v>2197</v>
      </c>
    </row>
    <row r="527" spans="1:3" x14ac:dyDescent="0.2">
      <c r="A527" s="12">
        <v>526</v>
      </c>
      <c r="B527" s="8" t="s">
        <v>605</v>
      </c>
      <c r="C527" s="8" t="s">
        <v>2210</v>
      </c>
    </row>
    <row r="528" spans="1:3" x14ac:dyDescent="0.2">
      <c r="A528" s="12">
        <v>527</v>
      </c>
      <c r="B528" s="8" t="s">
        <v>563</v>
      </c>
      <c r="C528" s="8" t="s">
        <v>2207</v>
      </c>
    </row>
    <row r="529" spans="1:3" x14ac:dyDescent="0.2">
      <c r="A529" s="12">
        <v>528</v>
      </c>
      <c r="B529" s="8" t="s">
        <v>256</v>
      </c>
      <c r="C529" s="8" t="s">
        <v>2215</v>
      </c>
    </row>
    <row r="530" spans="1:3" x14ac:dyDescent="0.2">
      <c r="A530" s="12">
        <v>529</v>
      </c>
      <c r="B530" s="8" t="s">
        <v>259</v>
      </c>
      <c r="C530" s="8" t="s">
        <v>2209</v>
      </c>
    </row>
    <row r="531" spans="1:3" x14ac:dyDescent="0.2">
      <c r="A531" s="12">
        <v>530</v>
      </c>
      <c r="B531" s="8" t="s">
        <v>615</v>
      </c>
      <c r="C531" s="8" t="s">
        <v>2200</v>
      </c>
    </row>
    <row r="532" spans="1:3" x14ac:dyDescent="0.2">
      <c r="A532" s="12">
        <v>531</v>
      </c>
      <c r="B532" s="8" t="s">
        <v>669</v>
      </c>
      <c r="C532" s="8" t="s">
        <v>2214</v>
      </c>
    </row>
    <row r="533" spans="1:3" x14ac:dyDescent="0.2">
      <c r="A533" s="12">
        <v>532</v>
      </c>
      <c r="B533" s="8" t="s">
        <v>273</v>
      </c>
      <c r="C533" s="8" t="s">
        <v>2207</v>
      </c>
    </row>
    <row r="534" spans="1:3" x14ac:dyDescent="0.2">
      <c r="A534" s="12">
        <v>533</v>
      </c>
      <c r="B534" s="8" t="s">
        <v>542</v>
      </c>
      <c r="C534" s="8" t="s">
        <v>2210</v>
      </c>
    </row>
    <row r="535" spans="1:3" x14ac:dyDescent="0.2">
      <c r="A535" s="12">
        <v>534</v>
      </c>
      <c r="B535" s="8" t="s">
        <v>561</v>
      </c>
      <c r="C535" s="8" t="s">
        <v>2221</v>
      </c>
    </row>
    <row r="536" spans="1:3" x14ac:dyDescent="0.2">
      <c r="A536" s="12">
        <v>535</v>
      </c>
      <c r="B536" s="8" t="s">
        <v>587</v>
      </c>
      <c r="C536" s="8" t="s">
        <v>2219</v>
      </c>
    </row>
    <row r="537" spans="1:3" x14ac:dyDescent="0.2">
      <c r="A537" s="12">
        <v>536</v>
      </c>
      <c r="B537" s="8" t="s">
        <v>257</v>
      </c>
      <c r="C537" s="8" t="s">
        <v>2219</v>
      </c>
    </row>
    <row r="538" spans="1:3" x14ac:dyDescent="0.2">
      <c r="A538" s="12">
        <v>537</v>
      </c>
      <c r="B538" s="8" t="s">
        <v>585</v>
      </c>
      <c r="C538" s="8" t="s">
        <v>2212</v>
      </c>
    </row>
    <row r="539" spans="1:3" x14ac:dyDescent="0.2">
      <c r="A539" s="12">
        <v>538</v>
      </c>
      <c r="B539" s="8" t="s">
        <v>588</v>
      </c>
      <c r="C539" s="8" t="s">
        <v>2224</v>
      </c>
    </row>
    <row r="540" spans="1:3" x14ac:dyDescent="0.2">
      <c r="A540" s="12">
        <v>539</v>
      </c>
      <c r="B540" s="8" t="s">
        <v>620</v>
      </c>
      <c r="C540" s="8" t="s">
        <v>2202</v>
      </c>
    </row>
    <row r="541" spans="1:3" x14ac:dyDescent="0.2">
      <c r="A541" s="12">
        <v>540</v>
      </c>
      <c r="B541" s="8" t="s">
        <v>651</v>
      </c>
      <c r="C541" s="8" t="s">
        <v>2218</v>
      </c>
    </row>
    <row r="542" spans="1:3" x14ac:dyDescent="0.2">
      <c r="A542" s="12">
        <v>541</v>
      </c>
      <c r="B542" s="8" t="s">
        <v>260</v>
      </c>
      <c r="C542" s="8" t="s">
        <v>2213</v>
      </c>
    </row>
    <row r="543" spans="1:3" x14ac:dyDescent="0.2">
      <c r="A543" s="12">
        <v>542</v>
      </c>
      <c r="B543" s="8" t="s">
        <v>538</v>
      </c>
      <c r="C543" s="8" t="s">
        <v>2219</v>
      </c>
    </row>
    <row r="544" spans="1:3" x14ac:dyDescent="0.2">
      <c r="A544" s="12">
        <v>543</v>
      </c>
      <c r="B544" s="8" t="s">
        <v>558</v>
      </c>
      <c r="C544" s="8" t="s">
        <v>2205</v>
      </c>
    </row>
    <row r="545" spans="1:3" x14ac:dyDescent="0.2">
      <c r="A545" s="12">
        <v>544</v>
      </c>
      <c r="B545" s="8" t="s">
        <v>622</v>
      </c>
      <c r="C545" s="8" t="s">
        <v>2212</v>
      </c>
    </row>
    <row r="546" spans="1:3" x14ac:dyDescent="0.2">
      <c r="A546" s="12">
        <v>545</v>
      </c>
      <c r="B546" s="8" t="s">
        <v>567</v>
      </c>
      <c r="C546" s="8" t="s">
        <v>2223</v>
      </c>
    </row>
    <row r="547" spans="1:3" x14ac:dyDescent="0.2">
      <c r="A547" s="12">
        <v>546</v>
      </c>
      <c r="B547" s="8" t="s">
        <v>591</v>
      </c>
      <c r="C547" s="8" t="s">
        <v>2196</v>
      </c>
    </row>
    <row r="548" spans="1:3" x14ac:dyDescent="0.2">
      <c r="A548" s="12">
        <v>547</v>
      </c>
      <c r="B548" s="8" t="s">
        <v>597</v>
      </c>
      <c r="C548" s="8" t="s">
        <v>2221</v>
      </c>
    </row>
    <row r="549" spans="1:3" x14ac:dyDescent="0.2">
      <c r="A549" s="12">
        <v>548</v>
      </c>
      <c r="B549" s="8" t="s">
        <v>611</v>
      </c>
      <c r="C549" s="8" t="s">
        <v>2204</v>
      </c>
    </row>
    <row r="550" spans="1:3" x14ac:dyDescent="0.2">
      <c r="A550" s="12">
        <v>549</v>
      </c>
      <c r="B550" s="8" t="s">
        <v>612</v>
      </c>
      <c r="C550" s="8" t="s">
        <v>2221</v>
      </c>
    </row>
    <row r="551" spans="1:3" x14ac:dyDescent="0.2">
      <c r="A551" s="12">
        <v>550</v>
      </c>
      <c r="B551" s="8" t="s">
        <v>619</v>
      </c>
      <c r="C551" s="8" t="s">
        <v>2210</v>
      </c>
    </row>
    <row r="552" spans="1:3" x14ac:dyDescent="0.2">
      <c r="A552" s="12">
        <v>551</v>
      </c>
      <c r="B552" s="8" t="s">
        <v>625</v>
      </c>
      <c r="C552" s="8" t="s">
        <v>2211</v>
      </c>
    </row>
    <row r="553" spans="1:3" x14ac:dyDescent="0.2">
      <c r="A553" s="12">
        <v>552</v>
      </c>
      <c r="B553" s="8" t="s">
        <v>636</v>
      </c>
      <c r="C553" s="8" t="s">
        <v>2221</v>
      </c>
    </row>
    <row r="554" spans="1:3" x14ac:dyDescent="0.2">
      <c r="A554" s="12">
        <v>553</v>
      </c>
      <c r="B554" s="8" t="s">
        <v>657</v>
      </c>
      <c r="C554" s="8" t="s">
        <v>6</v>
      </c>
    </row>
    <row r="555" spans="1:3" x14ac:dyDescent="0.2">
      <c r="A555" s="12">
        <v>554</v>
      </c>
      <c r="B555" s="8" t="s">
        <v>661</v>
      </c>
      <c r="C555" s="8" t="s">
        <v>2215</v>
      </c>
    </row>
    <row r="556" spans="1:3" x14ac:dyDescent="0.2">
      <c r="A556" s="12">
        <v>555</v>
      </c>
      <c r="B556" s="8" t="s">
        <v>593</v>
      </c>
      <c r="C556" s="8" t="s">
        <v>2204</v>
      </c>
    </row>
    <row r="557" spans="1:3" x14ac:dyDescent="0.2">
      <c r="A557" s="12">
        <v>556</v>
      </c>
      <c r="B557" s="8" t="s">
        <v>599</v>
      </c>
      <c r="C557" s="8" t="s">
        <v>2221</v>
      </c>
    </row>
    <row r="558" spans="1:3" x14ac:dyDescent="0.2">
      <c r="A558" s="12">
        <v>557</v>
      </c>
      <c r="B558" s="8" t="s">
        <v>638</v>
      </c>
      <c r="C558" s="8" t="s">
        <v>2196</v>
      </c>
    </row>
    <row r="559" spans="1:3" x14ac:dyDescent="0.2">
      <c r="A559" s="12">
        <v>558</v>
      </c>
      <c r="B559" s="8" t="s">
        <v>564</v>
      </c>
      <c r="C559" s="8" t="s">
        <v>11</v>
      </c>
    </row>
    <row r="560" spans="1:3" x14ac:dyDescent="0.2">
      <c r="A560" s="12">
        <v>559</v>
      </c>
      <c r="B560" s="8" t="s">
        <v>572</v>
      </c>
      <c r="C560" s="8" t="s">
        <v>2218</v>
      </c>
    </row>
    <row r="561" spans="1:3" x14ac:dyDescent="0.2">
      <c r="A561" s="12">
        <v>560</v>
      </c>
      <c r="B561" s="8" t="s">
        <v>582</v>
      </c>
      <c r="C561" s="8" t="s">
        <v>2207</v>
      </c>
    </row>
    <row r="562" spans="1:3" x14ac:dyDescent="0.2">
      <c r="A562" s="12">
        <v>561</v>
      </c>
      <c r="B562" s="8" t="s">
        <v>594</v>
      </c>
      <c r="C562" s="8" t="s">
        <v>2217</v>
      </c>
    </row>
    <row r="563" spans="1:3" x14ac:dyDescent="0.2">
      <c r="A563" s="12">
        <v>562</v>
      </c>
      <c r="B563" s="8" t="s">
        <v>596</v>
      </c>
      <c r="C563" s="8" t="s">
        <v>2202</v>
      </c>
    </row>
    <row r="564" spans="1:3" x14ac:dyDescent="0.2">
      <c r="A564" s="12">
        <v>563</v>
      </c>
      <c r="B564" s="8" t="s">
        <v>603</v>
      </c>
      <c r="C564" s="8" t="s">
        <v>2207</v>
      </c>
    </row>
    <row r="565" spans="1:3" x14ac:dyDescent="0.2">
      <c r="A565" s="12">
        <v>564</v>
      </c>
      <c r="B565" s="8" t="s">
        <v>628</v>
      </c>
      <c r="C565" s="8" t="s">
        <v>2221</v>
      </c>
    </row>
    <row r="566" spans="1:3" x14ac:dyDescent="0.2">
      <c r="A566" s="12">
        <v>565</v>
      </c>
      <c r="B566" s="8" t="s">
        <v>649</v>
      </c>
      <c r="C566" s="8" t="s">
        <v>2201</v>
      </c>
    </row>
    <row r="567" spans="1:3" x14ac:dyDescent="0.2">
      <c r="A567" s="12">
        <v>566</v>
      </c>
      <c r="B567" s="8" t="s">
        <v>654</v>
      </c>
      <c r="C567" s="8" t="s">
        <v>2212</v>
      </c>
    </row>
    <row r="568" spans="1:3" x14ac:dyDescent="0.2">
      <c r="A568" s="12">
        <v>567</v>
      </c>
      <c r="B568" s="8" t="s">
        <v>666</v>
      </c>
      <c r="C568" s="8" t="s">
        <v>2222</v>
      </c>
    </row>
    <row r="569" spans="1:3" x14ac:dyDescent="0.2">
      <c r="A569" s="12">
        <v>568</v>
      </c>
      <c r="B569" s="8" t="s">
        <v>534</v>
      </c>
      <c r="C569" s="8" t="s">
        <v>2213</v>
      </c>
    </row>
    <row r="570" spans="1:3" x14ac:dyDescent="0.2">
      <c r="A570" s="12">
        <v>569</v>
      </c>
      <c r="B570" s="8" t="s">
        <v>541</v>
      </c>
      <c r="C570" s="8" t="s">
        <v>2207</v>
      </c>
    </row>
    <row r="571" spans="1:3" x14ac:dyDescent="0.2">
      <c r="A571" s="12">
        <v>570</v>
      </c>
      <c r="B571" s="8" t="s">
        <v>550</v>
      </c>
      <c r="C571" s="8" t="s">
        <v>2211</v>
      </c>
    </row>
    <row r="572" spans="1:3" x14ac:dyDescent="0.2">
      <c r="A572" s="12">
        <v>571</v>
      </c>
      <c r="B572" s="8" t="s">
        <v>576</v>
      </c>
      <c r="C572" s="8" t="s">
        <v>2216</v>
      </c>
    </row>
    <row r="573" spans="1:3" x14ac:dyDescent="0.2">
      <c r="A573" s="12">
        <v>572</v>
      </c>
      <c r="B573" s="8" t="s">
        <v>598</v>
      </c>
      <c r="C573" s="8" t="s">
        <v>2197</v>
      </c>
    </row>
    <row r="574" spans="1:3" x14ac:dyDescent="0.2">
      <c r="A574" s="12">
        <v>573</v>
      </c>
      <c r="B574" s="8" t="s">
        <v>668</v>
      </c>
      <c r="C574" s="8" t="s">
        <v>2200</v>
      </c>
    </row>
    <row r="575" spans="1:3" x14ac:dyDescent="0.2">
      <c r="A575" s="12">
        <v>574</v>
      </c>
      <c r="B575" s="8" t="s">
        <v>532</v>
      </c>
      <c r="C575" s="8" t="s">
        <v>2202</v>
      </c>
    </row>
    <row r="576" spans="1:3" x14ac:dyDescent="0.2">
      <c r="A576" s="12">
        <v>575</v>
      </c>
      <c r="B576" s="8" t="s">
        <v>537</v>
      </c>
      <c r="C576" s="8" t="s">
        <v>2221</v>
      </c>
    </row>
    <row r="577" spans="1:3" x14ac:dyDescent="0.2">
      <c r="A577" s="12">
        <v>576</v>
      </c>
      <c r="B577" s="8" t="s">
        <v>623</v>
      </c>
      <c r="C577" s="8" t="s">
        <v>2207</v>
      </c>
    </row>
    <row r="578" spans="1:3" x14ac:dyDescent="0.2">
      <c r="A578" s="12">
        <v>577</v>
      </c>
      <c r="B578" s="8" t="s">
        <v>629</v>
      </c>
      <c r="C578" s="8" t="s">
        <v>2195</v>
      </c>
    </row>
    <row r="579" spans="1:3" x14ac:dyDescent="0.2">
      <c r="A579" s="12">
        <v>578</v>
      </c>
      <c r="B579" s="8" t="s">
        <v>634</v>
      </c>
      <c r="C579" s="8" t="s">
        <v>2219</v>
      </c>
    </row>
    <row r="580" spans="1:3" x14ac:dyDescent="0.2">
      <c r="A580" s="12">
        <v>579</v>
      </c>
      <c r="B580" s="8" t="s">
        <v>646</v>
      </c>
      <c r="C580" s="8" t="s">
        <v>2214</v>
      </c>
    </row>
    <row r="581" spans="1:3" x14ac:dyDescent="0.2">
      <c r="A581" s="12">
        <v>580</v>
      </c>
      <c r="B581" s="8" t="s">
        <v>528</v>
      </c>
      <c r="C581" s="8" t="s">
        <v>2215</v>
      </c>
    </row>
    <row r="582" spans="1:3" x14ac:dyDescent="0.2">
      <c r="A582" s="12">
        <v>581</v>
      </c>
      <c r="B582" s="8" t="s">
        <v>543</v>
      </c>
      <c r="C582" s="8" t="s">
        <v>2197</v>
      </c>
    </row>
    <row r="583" spans="1:3" x14ac:dyDescent="0.2">
      <c r="A583" s="12">
        <v>582</v>
      </c>
      <c r="B583" s="8" t="s">
        <v>592</v>
      </c>
      <c r="C583" s="8" t="s">
        <v>24</v>
      </c>
    </row>
    <row r="584" spans="1:3" x14ac:dyDescent="0.2">
      <c r="A584" s="12">
        <v>583</v>
      </c>
      <c r="B584" s="8" t="s">
        <v>609</v>
      </c>
      <c r="C584" s="8" t="s">
        <v>22</v>
      </c>
    </row>
    <row r="585" spans="1:3" x14ac:dyDescent="0.2">
      <c r="A585" s="12">
        <v>584</v>
      </c>
      <c r="B585" s="8" t="s">
        <v>621</v>
      </c>
      <c r="C585" s="8" t="s">
        <v>2219</v>
      </c>
    </row>
    <row r="586" spans="1:3" x14ac:dyDescent="0.2">
      <c r="A586" s="12">
        <v>585</v>
      </c>
      <c r="B586" s="8" t="s">
        <v>640</v>
      </c>
      <c r="C586" s="8" t="s">
        <v>2204</v>
      </c>
    </row>
    <row r="587" spans="1:3" x14ac:dyDescent="0.2">
      <c r="A587" s="12">
        <v>586</v>
      </c>
      <c r="B587" s="8" t="s">
        <v>663</v>
      </c>
      <c r="C587" s="8" t="s">
        <v>2200</v>
      </c>
    </row>
    <row r="588" spans="1:3" x14ac:dyDescent="0.2">
      <c r="A588" s="12">
        <v>587</v>
      </c>
      <c r="B588" s="8" t="s">
        <v>689</v>
      </c>
      <c r="C588" s="8" t="s">
        <v>2207</v>
      </c>
    </row>
    <row r="589" spans="1:3" x14ac:dyDescent="0.2">
      <c r="A589" s="12">
        <v>588</v>
      </c>
      <c r="B589" s="8" t="s">
        <v>525</v>
      </c>
      <c r="C589" s="8" t="s">
        <v>2201</v>
      </c>
    </row>
    <row r="590" spans="1:3" x14ac:dyDescent="0.2">
      <c r="A590" s="12">
        <v>589</v>
      </c>
      <c r="B590" s="8" t="s">
        <v>2134</v>
      </c>
      <c r="C590" s="8" t="s">
        <v>2198</v>
      </c>
    </row>
    <row r="591" spans="1:3" x14ac:dyDescent="0.2">
      <c r="A591" s="12">
        <v>590</v>
      </c>
      <c r="B591" s="8" t="s">
        <v>2135</v>
      </c>
      <c r="C591" s="8" t="s">
        <v>2195</v>
      </c>
    </row>
    <row r="592" spans="1:3" x14ac:dyDescent="0.2">
      <c r="A592" s="12">
        <v>591</v>
      </c>
      <c r="B592" s="8" t="s">
        <v>2136</v>
      </c>
      <c r="C592" s="8" t="s">
        <v>2198</v>
      </c>
    </row>
    <row r="593" spans="1:3" x14ac:dyDescent="0.2">
      <c r="A593" s="12">
        <v>592</v>
      </c>
      <c r="B593" s="8" t="s">
        <v>2137</v>
      </c>
      <c r="C593" s="8" t="s">
        <v>2212</v>
      </c>
    </row>
    <row r="594" spans="1:3" x14ac:dyDescent="0.2">
      <c r="A594" s="12">
        <v>593</v>
      </c>
      <c r="B594" s="8" t="s">
        <v>536</v>
      </c>
      <c r="C594" s="8" t="s">
        <v>2203</v>
      </c>
    </row>
    <row r="595" spans="1:3" x14ac:dyDescent="0.2">
      <c r="A595" s="12">
        <v>594</v>
      </c>
      <c r="B595" s="8" t="s">
        <v>540</v>
      </c>
      <c r="C595" s="8" t="s">
        <v>2198</v>
      </c>
    </row>
    <row r="596" spans="1:3" x14ac:dyDescent="0.2">
      <c r="A596" s="12">
        <v>595</v>
      </c>
      <c r="B596" s="8" t="s">
        <v>2138</v>
      </c>
      <c r="C596" s="8" t="s">
        <v>2216</v>
      </c>
    </row>
    <row r="597" spans="1:3" x14ac:dyDescent="0.2">
      <c r="A597" s="12">
        <v>596</v>
      </c>
      <c r="B597" s="8" t="s">
        <v>2139</v>
      </c>
      <c r="C597" s="8" t="s">
        <v>2198</v>
      </c>
    </row>
    <row r="598" spans="1:3" x14ac:dyDescent="0.2">
      <c r="A598" s="12">
        <v>597</v>
      </c>
      <c r="B598" s="8" t="s">
        <v>549</v>
      </c>
      <c r="C598" s="8" t="s">
        <v>2217</v>
      </c>
    </row>
    <row r="599" spans="1:3" x14ac:dyDescent="0.2">
      <c r="A599" s="12">
        <v>598</v>
      </c>
      <c r="B599" s="8" t="s">
        <v>2140</v>
      </c>
      <c r="C599" s="8" t="s">
        <v>2201</v>
      </c>
    </row>
    <row r="600" spans="1:3" x14ac:dyDescent="0.2">
      <c r="A600" s="12">
        <v>599</v>
      </c>
      <c r="B600" s="8" t="s">
        <v>2141</v>
      </c>
      <c r="C600" s="8" t="s">
        <v>2202</v>
      </c>
    </row>
    <row r="601" spans="1:3" x14ac:dyDescent="0.2">
      <c r="A601" s="12">
        <v>600</v>
      </c>
      <c r="B601" s="8" t="s">
        <v>2142</v>
      </c>
      <c r="C601" s="8" t="s">
        <v>2206</v>
      </c>
    </row>
    <row r="602" spans="1:3" x14ac:dyDescent="0.2">
      <c r="A602" s="12">
        <v>601</v>
      </c>
      <c r="B602" s="8" t="s">
        <v>2143</v>
      </c>
      <c r="C602" s="8" t="s">
        <v>2209</v>
      </c>
    </row>
    <row r="603" spans="1:3" x14ac:dyDescent="0.2">
      <c r="A603" s="12">
        <v>602</v>
      </c>
      <c r="B603" s="8" t="s">
        <v>2144</v>
      </c>
      <c r="C603" s="8" t="s">
        <v>2209</v>
      </c>
    </row>
    <row r="604" spans="1:3" x14ac:dyDescent="0.2">
      <c r="A604" s="12">
        <v>603</v>
      </c>
      <c r="B604" s="8" t="s">
        <v>2145</v>
      </c>
      <c r="C604" s="8" t="s">
        <v>2211</v>
      </c>
    </row>
    <row r="605" spans="1:3" x14ac:dyDescent="0.2">
      <c r="A605" s="12">
        <v>604</v>
      </c>
      <c r="B605" s="8" t="s">
        <v>2146</v>
      </c>
      <c r="C605" s="8" t="s">
        <v>2207</v>
      </c>
    </row>
    <row r="606" spans="1:3" x14ac:dyDescent="0.2">
      <c r="A606" s="12">
        <v>605</v>
      </c>
      <c r="B606" s="8" t="s">
        <v>2147</v>
      </c>
      <c r="C606" s="8" t="s">
        <v>2212</v>
      </c>
    </row>
    <row r="607" spans="1:3" x14ac:dyDescent="0.2">
      <c r="A607" s="12">
        <v>606</v>
      </c>
      <c r="B607" s="8" t="s">
        <v>2148</v>
      </c>
      <c r="C607" s="8" t="s">
        <v>2211</v>
      </c>
    </row>
    <row r="608" spans="1:3" x14ac:dyDescent="0.2">
      <c r="A608" s="12">
        <v>607</v>
      </c>
      <c r="B608" s="8" t="s">
        <v>2149</v>
      </c>
      <c r="C608" s="8" t="s">
        <v>2200</v>
      </c>
    </row>
    <row r="609" spans="1:3" x14ac:dyDescent="0.2">
      <c r="A609" s="12">
        <v>608</v>
      </c>
      <c r="B609" s="8" t="s">
        <v>2150</v>
      </c>
      <c r="C609" s="8" t="s">
        <v>2212</v>
      </c>
    </row>
    <row r="610" spans="1:3" x14ac:dyDescent="0.2">
      <c r="A610" s="12">
        <v>609</v>
      </c>
      <c r="B610" s="8" t="s">
        <v>2151</v>
      </c>
      <c r="C610" s="8" t="s">
        <v>2201</v>
      </c>
    </row>
    <row r="611" spans="1:3" x14ac:dyDescent="0.2">
      <c r="A611" s="12">
        <v>610</v>
      </c>
      <c r="B611" s="8" t="s">
        <v>2152</v>
      </c>
      <c r="C611" s="8" t="s">
        <v>2221</v>
      </c>
    </row>
    <row r="612" spans="1:3" x14ac:dyDescent="0.2">
      <c r="A612" s="12">
        <v>611</v>
      </c>
      <c r="B612" s="8" t="s">
        <v>2153</v>
      </c>
      <c r="C612" s="8" t="s">
        <v>2214</v>
      </c>
    </row>
    <row r="613" spans="1:3" x14ac:dyDescent="0.2">
      <c r="A613" s="12">
        <v>612</v>
      </c>
      <c r="B613" s="8" t="s">
        <v>586</v>
      </c>
      <c r="C613" s="8" t="s">
        <v>2222</v>
      </c>
    </row>
    <row r="614" spans="1:3" x14ac:dyDescent="0.2">
      <c r="A614" s="12">
        <v>613</v>
      </c>
      <c r="B614" s="8" t="s">
        <v>2154</v>
      </c>
      <c r="C614" s="8" t="s">
        <v>2207</v>
      </c>
    </row>
    <row r="615" spans="1:3" x14ac:dyDescent="0.2">
      <c r="A615" s="12">
        <v>614</v>
      </c>
      <c r="B615" s="8" t="s">
        <v>2155</v>
      </c>
      <c r="C615" s="8" t="s">
        <v>2217</v>
      </c>
    </row>
    <row r="616" spans="1:3" x14ac:dyDescent="0.2">
      <c r="A616" s="12">
        <v>615</v>
      </c>
      <c r="B616" s="8" t="s">
        <v>2156</v>
      </c>
      <c r="C616" s="8" t="s">
        <v>2211</v>
      </c>
    </row>
    <row r="617" spans="1:3" x14ac:dyDescent="0.2">
      <c r="A617" s="12">
        <v>616</v>
      </c>
      <c r="B617" s="8" t="s">
        <v>2157</v>
      </c>
      <c r="C617" s="8" t="s">
        <v>2195</v>
      </c>
    </row>
    <row r="618" spans="1:3" x14ac:dyDescent="0.2">
      <c r="A618" s="12">
        <v>617</v>
      </c>
      <c r="B618" s="8" t="s">
        <v>2158</v>
      </c>
      <c r="C618" s="8" t="s">
        <v>2202</v>
      </c>
    </row>
    <row r="619" spans="1:3" x14ac:dyDescent="0.2">
      <c r="A619" s="12">
        <v>618</v>
      </c>
      <c r="B619" s="8" t="s">
        <v>2159</v>
      </c>
      <c r="C619" s="8" t="s">
        <v>2207</v>
      </c>
    </row>
    <row r="620" spans="1:3" x14ac:dyDescent="0.2">
      <c r="A620" s="12">
        <v>619</v>
      </c>
      <c r="B620" s="8" t="s">
        <v>2160</v>
      </c>
      <c r="C620" s="8" t="s">
        <v>2209</v>
      </c>
    </row>
    <row r="621" spans="1:3" x14ac:dyDescent="0.2">
      <c r="A621" s="12">
        <v>620</v>
      </c>
      <c r="B621" s="8" t="s">
        <v>2161</v>
      </c>
      <c r="C621" s="8" t="s">
        <v>2223</v>
      </c>
    </row>
    <row r="622" spans="1:3" x14ac:dyDescent="0.2">
      <c r="A622" s="12">
        <v>621</v>
      </c>
      <c r="B622" s="8" t="s">
        <v>2162</v>
      </c>
      <c r="C622" s="8" t="s">
        <v>2215</v>
      </c>
    </row>
    <row r="623" spans="1:3" x14ac:dyDescent="0.2">
      <c r="A623" s="12">
        <v>622</v>
      </c>
      <c r="B623" s="8" t="s">
        <v>2163</v>
      </c>
      <c r="C623" s="8" t="s">
        <v>2207</v>
      </c>
    </row>
    <row r="624" spans="1:3" x14ac:dyDescent="0.2">
      <c r="A624" s="12">
        <v>623</v>
      </c>
      <c r="B624" s="8" t="s">
        <v>2164</v>
      </c>
      <c r="C624" s="8" t="s">
        <v>2195</v>
      </c>
    </row>
    <row r="625" spans="1:3" x14ac:dyDescent="0.2">
      <c r="A625" s="12">
        <v>624</v>
      </c>
      <c r="B625" s="8" t="s">
        <v>2165</v>
      </c>
      <c r="C625" s="8" t="s">
        <v>2204</v>
      </c>
    </row>
    <row r="626" spans="1:3" x14ac:dyDescent="0.2">
      <c r="A626" s="12">
        <v>625</v>
      </c>
      <c r="B626" s="8" t="s">
        <v>2166</v>
      </c>
      <c r="C626" s="8" t="s">
        <v>2207</v>
      </c>
    </row>
    <row r="627" spans="1:3" x14ac:dyDescent="0.2">
      <c r="A627" s="12">
        <v>626</v>
      </c>
      <c r="B627" s="8" t="s">
        <v>2167</v>
      </c>
      <c r="C627" s="8" t="s">
        <v>2197</v>
      </c>
    </row>
    <row r="628" spans="1:3" x14ac:dyDescent="0.2">
      <c r="A628" s="12">
        <v>627</v>
      </c>
      <c r="B628" s="8" t="s">
        <v>2168</v>
      </c>
      <c r="C628" s="8" t="s">
        <v>2204</v>
      </c>
    </row>
    <row r="629" spans="1:3" x14ac:dyDescent="0.2">
      <c r="A629" s="12">
        <v>628</v>
      </c>
      <c r="B629" s="8" t="s">
        <v>2169</v>
      </c>
      <c r="C629" s="8" t="s">
        <v>2200</v>
      </c>
    </row>
    <row r="630" spans="1:3" x14ac:dyDescent="0.2">
      <c r="A630" s="12">
        <v>629</v>
      </c>
      <c r="B630" s="8" t="s">
        <v>639</v>
      </c>
      <c r="C630" s="8" t="s">
        <v>2199</v>
      </c>
    </row>
    <row r="631" spans="1:3" x14ac:dyDescent="0.2">
      <c r="A631" s="12">
        <v>630</v>
      </c>
      <c r="B631" s="8" t="s">
        <v>2170</v>
      </c>
      <c r="C631" s="8" t="s">
        <v>2195</v>
      </c>
    </row>
    <row r="632" spans="1:3" x14ac:dyDescent="0.2">
      <c r="A632" s="12">
        <v>631</v>
      </c>
      <c r="B632" s="8" t="s">
        <v>2171</v>
      </c>
      <c r="C632" s="8" t="s">
        <v>2206</v>
      </c>
    </row>
    <row r="633" spans="1:3" x14ac:dyDescent="0.2">
      <c r="A633" s="12">
        <v>632</v>
      </c>
      <c r="B633" s="8" t="s">
        <v>2172</v>
      </c>
      <c r="C633" s="8" t="s">
        <v>2207</v>
      </c>
    </row>
    <row r="634" spans="1:3" x14ac:dyDescent="0.2">
      <c r="A634" s="12">
        <v>633</v>
      </c>
      <c r="B634" s="8" t="s">
        <v>2173</v>
      </c>
      <c r="C634" s="8" t="s">
        <v>2197</v>
      </c>
    </row>
    <row r="635" spans="1:3" x14ac:dyDescent="0.2">
      <c r="A635" s="12">
        <v>634</v>
      </c>
      <c r="B635" s="8" t="s">
        <v>2174</v>
      </c>
      <c r="C635" s="8" t="s">
        <v>2195</v>
      </c>
    </row>
    <row r="636" spans="1:3" x14ac:dyDescent="0.2">
      <c r="A636" s="12">
        <v>635</v>
      </c>
      <c r="B636" s="8" t="s">
        <v>2175</v>
      </c>
      <c r="C636" s="8" t="s">
        <v>2209</v>
      </c>
    </row>
    <row r="637" spans="1:3" x14ac:dyDescent="0.2">
      <c r="A637" s="12">
        <v>636</v>
      </c>
      <c r="B637" s="8" t="s">
        <v>2176</v>
      </c>
      <c r="C637" s="8" t="s">
        <v>2214</v>
      </c>
    </row>
    <row r="638" spans="1:3" x14ac:dyDescent="0.2">
      <c r="A638" s="12">
        <v>637</v>
      </c>
      <c r="B638" s="8" t="s">
        <v>2177</v>
      </c>
      <c r="C638" s="8" t="s">
        <v>2202</v>
      </c>
    </row>
    <row r="639" spans="1:3" x14ac:dyDescent="0.2">
      <c r="A639" s="12">
        <v>638</v>
      </c>
      <c r="B639" s="8" t="s">
        <v>664</v>
      </c>
      <c r="C639" s="8" t="s">
        <v>15</v>
      </c>
    </row>
    <row r="640" spans="1:3" x14ac:dyDescent="0.2">
      <c r="A640" s="12">
        <v>639</v>
      </c>
      <c r="B640" s="8" t="s">
        <v>2178</v>
      </c>
      <c r="C640" s="8" t="s">
        <v>2224</v>
      </c>
    </row>
    <row r="641" spans="1:3" x14ac:dyDescent="0.2">
      <c r="A641" s="12">
        <v>640</v>
      </c>
      <c r="B641" s="8" t="s">
        <v>2179</v>
      </c>
      <c r="C641" s="8" t="s">
        <v>2221</v>
      </c>
    </row>
    <row r="642" spans="1:3" x14ac:dyDescent="0.2">
      <c r="A642" s="12">
        <v>641</v>
      </c>
      <c r="B642" s="8" t="s">
        <v>2180</v>
      </c>
      <c r="C642" s="8" t="s">
        <v>2199</v>
      </c>
    </row>
    <row r="643" spans="1:3" x14ac:dyDescent="0.2">
      <c r="A643" s="12">
        <v>642</v>
      </c>
      <c r="B643" s="8" t="s">
        <v>2181</v>
      </c>
      <c r="C643" s="8" t="s">
        <v>2213</v>
      </c>
    </row>
    <row r="644" spans="1:3" x14ac:dyDescent="0.2">
      <c r="A644" s="12">
        <v>643</v>
      </c>
      <c r="B644" s="8" t="s">
        <v>2182</v>
      </c>
      <c r="C644" s="8" t="s">
        <v>2207</v>
      </c>
    </row>
    <row r="645" spans="1:3" x14ac:dyDescent="0.2">
      <c r="A645" s="12">
        <v>644</v>
      </c>
      <c r="B645" s="8" t="s">
        <v>2183</v>
      </c>
      <c r="C645" s="8" t="s">
        <v>2197</v>
      </c>
    </row>
    <row r="646" spans="1:3" x14ac:dyDescent="0.2">
      <c r="A646" s="12">
        <v>645</v>
      </c>
      <c r="B646" s="8" t="s">
        <v>2184</v>
      </c>
      <c r="C646" s="8" t="s">
        <v>2217</v>
      </c>
    </row>
    <row r="647" spans="1:3" x14ac:dyDescent="0.2">
      <c r="A647" s="12">
        <v>646</v>
      </c>
      <c r="B647" s="8" t="s">
        <v>2185</v>
      </c>
      <c r="C647" s="8" t="s">
        <v>2195</v>
      </c>
    </row>
    <row r="648" spans="1:3" x14ac:dyDescent="0.2">
      <c r="A648" s="12">
        <v>647</v>
      </c>
      <c r="B648" s="8" t="s">
        <v>2186</v>
      </c>
      <c r="C648" s="8" t="s">
        <v>2201</v>
      </c>
    </row>
    <row r="649" spans="1:3" x14ac:dyDescent="0.2">
      <c r="A649" s="12">
        <v>648</v>
      </c>
      <c r="B649" s="8" t="s">
        <v>2187</v>
      </c>
      <c r="C649" s="8" t="s">
        <v>2217</v>
      </c>
    </row>
    <row r="650" spans="1:3" x14ac:dyDescent="0.2">
      <c r="A650" s="12">
        <v>649</v>
      </c>
      <c r="B650" s="8" t="s">
        <v>2188</v>
      </c>
      <c r="C650" s="8" t="s">
        <v>2214</v>
      </c>
    </row>
    <row r="651" spans="1:3" x14ac:dyDescent="0.2">
      <c r="A651" s="12">
        <v>650</v>
      </c>
      <c r="B651" s="8" t="s">
        <v>2189</v>
      </c>
      <c r="C651" s="8" t="s">
        <v>2217</v>
      </c>
    </row>
    <row r="652" spans="1:3" x14ac:dyDescent="0.2">
      <c r="A652" s="12">
        <v>651</v>
      </c>
      <c r="B652" s="8" t="s">
        <v>2190</v>
      </c>
      <c r="C652" s="8" t="s">
        <v>2219</v>
      </c>
    </row>
    <row r="653" spans="1:3" x14ac:dyDescent="0.2">
      <c r="A653" s="12">
        <v>652</v>
      </c>
      <c r="B653" s="8" t="s">
        <v>687</v>
      </c>
      <c r="C653" s="8" t="s">
        <v>2203</v>
      </c>
    </row>
    <row r="654" spans="1:3" x14ac:dyDescent="0.2">
      <c r="A654" s="12">
        <v>653</v>
      </c>
      <c r="B654" s="8" t="s">
        <v>2191</v>
      </c>
      <c r="C654" s="8" t="s">
        <v>2216</v>
      </c>
    </row>
    <row r="655" spans="1:3" x14ac:dyDescent="0.2">
      <c r="A655" s="12">
        <v>654</v>
      </c>
      <c r="B655" s="8" t="s">
        <v>2192</v>
      </c>
      <c r="C655" s="8" t="s">
        <v>2197</v>
      </c>
    </row>
    <row r="656" spans="1:3" x14ac:dyDescent="0.2">
      <c r="A656" s="12">
        <v>655</v>
      </c>
      <c r="B656" s="8" t="s">
        <v>2193</v>
      </c>
      <c r="C656" s="8" t="s">
        <v>2219</v>
      </c>
    </row>
    <row r="657" spans="1:3" x14ac:dyDescent="0.2">
      <c r="A657" s="12">
        <v>656</v>
      </c>
      <c r="B657" s="8" t="s">
        <v>2194</v>
      </c>
      <c r="C657" s="8" t="s">
        <v>2221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mlb_ids</vt:lpstr>
      <vt:lpstr>mlb_statcast</vt:lpstr>
      <vt:lpstr>games played</vt:lpstr>
      <vt:lpstr>team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Josh Brodie</cp:lastModifiedBy>
  <dcterms:created xsi:type="dcterms:W3CDTF">2026-07-14T21:59:41Z</dcterms:created>
  <dcterms:modified xsi:type="dcterms:W3CDTF">2026-07-15T06:16:17Z</dcterms:modified>
</cp:coreProperties>
</file>